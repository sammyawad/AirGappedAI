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shboard" sheetId="2" state="visible" r:id="rId4"/>
    <sheet name="Unit Economics" sheetId="3" state="visible" r:id="rId5"/>
    <sheet name="Assumptions" sheetId="4" state="visible" r:id="rId6"/>
    <sheet name="Sales Plan" sheetId="5" state="visible" r:id="rId7"/>
    <sheet name="Opex Plan" sheetId="6" state="visible" r:id="rId8"/>
    <sheet name="Projection" sheetId="7" state="visible" r:id="rId9"/>
    <sheet name="Hardware BOM" sheetId="8" state="visible" r:id="rId10"/>
    <sheet name="Benchmark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Set to the cash you start with. At $0, the Dashboard's 'Outside funding needed' shows the total capital required.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3" authorId="0">
      <text>
        <r>
          <rPr>
            <sz val="10"/>
            <rFont val="Arial"/>
            <family val="2"/>
          </rPr>
          <t xml:space="preserve">Hired the month after total active clients first reach this number. Use 999 to never hire.</t>
        </r>
      </text>
    </comment>
    <comment ref="C14" authorId="0">
      <text>
        <r>
          <rPr>
            <sz val="10"/>
            <rFont val="Arial"/>
            <family val="2"/>
          </rPr>
          <t xml:space="preserve">Hired the month after total active clients first reach this number. Use 999 to never hire.</t>
        </r>
      </text>
    </comment>
    <comment ref="C15" authorId="0">
      <text>
        <r>
          <rPr>
            <sz val="10"/>
            <rFont val="Arial"/>
            <family val="2"/>
          </rPr>
          <t xml:space="preserve">Hired the month after total active clients first reach this number. Use 999 to never hire.</t>
        </r>
      </text>
    </comment>
    <comment ref="C16" authorId="0">
      <text>
        <r>
          <rPr>
            <sz val="10"/>
            <rFont val="Arial"/>
            <family val="2"/>
          </rPr>
          <t xml:space="preserve">Hired the month after total active clients first reach this number. Use 999 to never hire.</t>
        </r>
      </text>
    </comment>
  </commentList>
</comments>
</file>

<file path=xl/sharedStrings.xml><?xml version="1.0" encoding="utf-8"?>
<sst xmlns="http://schemas.openxmlformats.org/spreadsheetml/2006/main" count="446" uniqueCount="373">
  <si>
    <t xml:space="preserve">Private AI Appliance - Pricing &amp; Unit Economics Model</t>
  </si>
  <si>
    <t xml:space="preserve">Built 2026-09-25. Numbers are planning estimates from public research (see Sources column on each sheet), not quotes.</t>
  </si>
  <si>
    <t xml:space="preserve">HOW TO USE</t>
  </si>
  <si>
    <t xml:space="preserve">1. Change inputs on 'Assumptions', 'Hardware BOM', 'Sales Plan' and 'Opex Plan'. Everything else recalculates.</t>
  </si>
  <si>
    <t xml:space="preserve">2. Switch scenarios with Assumptions!B4 (1 = Conservative, 2 = Base, 3 = Upside).</t>
  </si>
  <si>
    <t xml:space="preserve">3. Set Assumptions!B5 to 0 if clients buy hardware directly from the OEM (you then earn no hardware margin but carry no inventory risk).</t>
  </si>
  <si>
    <t xml:space="preserve">4. Read results on 'Dashboard' (3-year view) and 'Unit Economics' (per-client view).</t>
  </si>
  <si>
    <t xml:space="preserve">COLOR LEGEND</t>
  </si>
  <si>
    <t xml:space="preserve">Blue text = hardcoded input you can change</t>
  </si>
  <si>
    <t xml:space="preserve">Black text = formula</t>
  </si>
  <si>
    <t xml:space="preserve">Green text = pulled from another sheet</t>
  </si>
  <si>
    <t xml:space="preserve">Yellow fill = key lever worth testing</t>
  </si>
  <si>
    <t xml:space="preserve">MODELING CHOICES (read before trusting the output)</t>
  </si>
  <si>
    <t xml:space="preserve">- New clients per quarter are spread evenly across the quarter's 3 months, so client counts can be fractional (expected values).</t>
  </si>
  <si>
    <t xml:space="preserve">- Delivery labor (install + support) is costed at a paid-engineer rate even while founders do it, so gross margin stays honest once you hire. Founder pay sits in opex. Early cash burn is therefore overstated slightly.</t>
  </si>
  <si>
    <t xml:space="preserve">- The design-partner discount is applied to all subscription revenue billed in Year 1 (a simplification).</t>
  </si>
  <si>
    <t xml:space="preserve">- Clients are assumed to pay for hardware up front (deposit on order), so hardware creates no working-capital gap. If you extend terms, you need cash to cover it.</t>
  </si>
  <si>
    <t xml:space="preserve">- Hires start automatically the month after total active clients reach each role's threshold (Opex Plan), so weaker sales delay hiring. Founder pay and other opex are fixed by year.</t>
  </si>
  <si>
    <t xml:space="preserve">- Excludes income taxes, sales tax on hardware (collected and remitted, not revenue), and financing costs.</t>
  </si>
  <si>
    <t xml:space="preserve">- Hardware refreshes (typically every 3-5 years) are not modeled; they are upside.</t>
  </si>
  <si>
    <t xml:space="preserve">Dashboard: 3-year view</t>
  </si>
  <si>
    <t xml:space="preserve">Metric</t>
  </si>
  <si>
    <t xml:space="preserve">Year 1</t>
  </si>
  <si>
    <t xml:space="preserve">Year 2</t>
  </si>
  <si>
    <t xml:space="preserve">Year 3</t>
  </si>
  <si>
    <t xml:space="preserve">Notes</t>
  </si>
  <si>
    <t xml:space="preserve">New clients signed</t>
  </si>
  <si>
    <t xml:space="preserve">Fractional = expected value</t>
  </si>
  <si>
    <t xml:space="preserve">Active clients at year end</t>
  </si>
  <si>
    <t xml:space="preserve">Financials ($)</t>
  </si>
  <si>
    <t xml:space="preserve">Hardware revenue</t>
  </si>
  <si>
    <t xml:space="preserve">Pass-through; thin margin</t>
  </si>
  <si>
    <t xml:space="preserve">Setup &amp; onboarding revenue</t>
  </si>
  <si>
    <t xml:space="preserve">Subscription revenue</t>
  </si>
  <si>
    <t xml:space="preserve">The part that compounds</t>
  </si>
  <si>
    <t xml:space="preserve">Total revenue</t>
  </si>
  <si>
    <t xml:space="preserve">Gross profit</t>
  </si>
  <si>
    <t xml:space="preserve">Gross margin %</t>
  </si>
  <si>
    <t xml:space="preserve">Operating expenses</t>
  </si>
  <si>
    <t xml:space="preserve">EBITDA</t>
  </si>
  <si>
    <t xml:space="preserve">Capital purchases</t>
  </si>
  <si>
    <t xml:space="preserve">Cash balance at year end</t>
  </si>
  <si>
    <t xml:space="preserve">Negative = funding required</t>
  </si>
  <si>
    <t xml:space="preserve">ARR at year end (list price)</t>
  </si>
  <si>
    <t xml:space="preserve">Annual recurring revenue run-rate</t>
  </si>
  <si>
    <t xml:space="preserve">Hires on payroll at year end (excl. founders)</t>
  </si>
  <si>
    <t xml:space="preserve">Hires start automatically when active clients reach the thresholds on 'Opex Plan'</t>
  </si>
  <si>
    <t xml:space="preserve">Key results</t>
  </si>
  <si>
    <t xml:space="preserve">Month EBITDA turns positive and stays positive</t>
  </si>
  <si>
    <t xml:space="preserve">Lowest cash balance over 36 months ($)</t>
  </si>
  <si>
    <t xml:space="preserve">Outside funding needed to stay above $0 ($)</t>
  </si>
  <si>
    <t xml:space="preserve">Starting cash is on Assumptions!B6. Add a buffer of 3-6 months of opex on top.</t>
  </si>
  <si>
    <t xml:space="preserve">Clients active at month 36</t>
  </si>
  <si>
    <t xml:space="preserve">Hiring plan</t>
  </si>
  <si>
    <t xml:space="preserve">Role</t>
  </si>
  <si>
    <t xml:space="preserve">Starts in month</t>
  </si>
  <si>
    <t xml:space="preserve">Threshold (clients)</t>
  </si>
  <si>
    <t xml:space="preserve">Field / solutions engineer</t>
  </si>
  <si>
    <t xml:space="preserve">Sales / partner manager (base; commission sits in CAC)</t>
  </si>
  <si>
    <t xml:space="preserve">Second engineer</t>
  </si>
  <si>
    <t xml:space="preserve">Customer success / support</t>
  </si>
  <si>
    <t xml:space="preserve">Unit Economics: one client, by tier</t>
  </si>
  <si>
    <t xml:space="preserve">Reads from 'Assumptions'. List prices, before any design-partner discount.</t>
  </si>
  <si>
    <t xml:space="preserve">Per client</t>
  </si>
  <si>
    <t xml:space="preserve">Practice</t>
  </si>
  <si>
    <t xml:space="preserve">Firm</t>
  </si>
  <si>
    <t xml:space="preserve">Enterprise</t>
  </si>
  <si>
    <t xml:space="preserve">How it's calculated</t>
  </si>
  <si>
    <t xml:space="preserve">Hardware revenue (one-time)</t>
  </si>
  <si>
    <t xml:space="preserve">Hardware price to client x resell toggle</t>
  </si>
  <si>
    <t xml:space="preserve">Setup &amp; onboarding fee (one-time)</t>
  </si>
  <si>
    <t xml:space="preserve">One-time revenue</t>
  </si>
  <si>
    <t xml:space="preserve">Hardware cost</t>
  </si>
  <si>
    <t xml:space="preserve">Install labor, travel &amp; burn-in</t>
  </si>
  <si>
    <t xml:space="preserve">Hours x loaded rate + travel/shipping</t>
  </si>
  <si>
    <t xml:space="preserve">One-time gross profit</t>
  </si>
  <si>
    <t xml:space="preserve">One-time gross margin</t>
  </si>
  <si>
    <t xml:space="preserve">Recurring (monthly)</t>
  </si>
  <si>
    <t xml:space="preserve">Subscription ($/month)</t>
  </si>
  <si>
    <t xml:space="preserve">Support labor &amp; recurring cost ($/month)</t>
  </si>
  <si>
    <t xml:space="preserve">Support hours x loaded rate + other recurring</t>
  </si>
  <si>
    <t xml:space="preserve">Subscription gross profit ($/month)</t>
  </si>
  <si>
    <t xml:space="preserve">Subscription gross margin</t>
  </si>
  <si>
    <t xml:space="preserve">Effective price per user per month</t>
  </si>
  <si>
    <t xml:space="preserve">Subscription / midpoint users: compare with per-seat cloud tools on 'Benchmarks'</t>
  </si>
  <si>
    <t xml:space="preserve">First year and lifetime</t>
  </si>
  <si>
    <t xml:space="preserve">Year-1 revenue per client</t>
  </si>
  <si>
    <t xml:space="preserve">One-time + 12 months of subscription</t>
  </si>
  <si>
    <t xml:space="preserve">Year-1 gross profit per client</t>
  </si>
  <si>
    <t xml:space="preserve">Year-1 blended gross margin</t>
  </si>
  <si>
    <t xml:space="preserve">Low because hardware is a thin-margin pass-through</t>
  </si>
  <si>
    <t xml:space="preserve">Annual recurring revenue (Year 2 onward)</t>
  </si>
  <si>
    <t xml:space="preserve">Annual recurring gross profit (Year 2 onward)</t>
  </si>
  <si>
    <t xml:space="preserve">Acquisition payback</t>
  </si>
  <si>
    <t xml:space="preserve">Expected customer lifetime (years)</t>
  </si>
  <si>
    <t xml:space="preserve">1 / annual churn, capped at the max lifetime</t>
  </si>
  <si>
    <t xml:space="preserve">Lifetime gross profit (LTV)</t>
  </si>
  <si>
    <t xml:space="preserve">One-time GP + recurring GP x lifetime (undiscounted)</t>
  </si>
  <si>
    <t xml:space="preserve">Customer acquisition cost (CAC)</t>
  </si>
  <si>
    <t xml:space="preserve">LTV / CAC</t>
  </si>
  <si>
    <t xml:space="preserve">Above 3x is healthy for B2B</t>
  </si>
  <si>
    <t xml:space="preserve">Months of subscription profit to repay CAC</t>
  </si>
  <si>
    <t xml:space="preserve">After one-time gross profit is applied; under 12 is strong</t>
  </si>
  <si>
    <t xml:space="preserve">Capacity</t>
  </si>
  <si>
    <t xml:space="preserve">Delivery hours per client in Year 1</t>
  </si>
  <si>
    <t xml:space="preserve">Capacity planning</t>
  </si>
  <si>
    <t xml:space="preserve">Clients one support engineer can carry</t>
  </si>
  <si>
    <t xml:space="preserve">Engineer hours per year / support hours per client per year</t>
  </si>
  <si>
    <t xml:space="preserve">Assumptions</t>
  </si>
  <si>
    <t xml:space="preserve">Blue = input. Black = formula. Green = from another sheet. Yellow fill = key lever.</t>
  </si>
  <si>
    <t xml:space="preserve">Scenario (1 = Conservative, 2 = Base, 3 = Upside)</t>
  </si>
  <si>
    <t xml:space="preserve">Resell hardware? (1 = we resell it, 0 = client buys direct from OEM)</t>
  </si>
  <si>
    <t xml:space="preserve">Starting cash ($)</t>
  </si>
  <si>
    <t xml:space="preserve">Per-client assumptions</t>
  </si>
  <si>
    <t xml:space="preserve">Notes / source</t>
  </si>
  <si>
    <t xml:space="preserve">Team size served (users)</t>
  </si>
  <si>
    <t xml:space="preserve">5-20</t>
  </si>
  <si>
    <t xml:space="preserve">20-75</t>
  </si>
  <si>
    <t xml:space="preserve">75-300</t>
  </si>
  <si>
    <t xml:space="preserve">Staff the box is sized for (see Hardware BOM capacity notes).</t>
  </si>
  <si>
    <t xml:space="preserve">Users for per-seat comparison (midpoint)</t>
  </si>
  <si>
    <t xml:space="preserve">Used only to compare our flat price with per-seat cloud tools.</t>
  </si>
  <si>
    <t xml:space="preserve">Setup &amp; onboarding fee ($, one-time)</t>
  </si>
  <si>
    <t xml:space="preserve">Covers burn-in, imaging, install, AD integration, workflow setup, training. Market: managed private-AI builds run $20k-90k in year one for medical practices (valuestreamai.com).</t>
  </si>
  <si>
    <t xml:space="preserve">Flat monthly, no per-seat fees within the tier. ~$57-125 per user vs $199-500/seat for cloud legal AI (Clio Work, CoCounsel, Lexis) and $149-599/user for managed private AI (openclawinstall.ai). Appliance vendors earn most profit here (Datto subscriptions 84% gross margin).</t>
  </si>
  <si>
    <t xml:space="preserve">Hardware markup over cost (%)</t>
  </si>
  <si>
    <t xml:space="preserve">Cost-plus pass-through. Benchmarks: channel hardware markup 20-28% and shrinking; CDW 21.7% gross margin FY2025; Datto sold appliances below cost to win subscriptions. Keep it thin: buyers can price-check a DGX Spark.</t>
  </si>
  <si>
    <t xml:space="preserve">Hardware cost to us ($)</t>
  </si>
  <si>
    <t xml:space="preserve">From 'Hardware BOM' totals.</t>
  </si>
  <si>
    <t xml:space="preserve">Install &amp; onboarding labor (hours)</t>
  </si>
  <si>
    <t xml:space="preserve">Your labor per install (burn-in, imaging, on-site, config, training).</t>
  </si>
  <si>
    <t xml:space="preserve">Travel, shipping &amp; burn-in per install ($)</t>
  </si>
  <si>
    <t xml:space="preserve">Travel, insured shipping, burn-in consumables.</t>
  </si>
  <si>
    <t xml:space="preserve">Support &amp; maintenance hours per client per month</t>
  </si>
  <si>
    <t xml:space="preserve">Monthly engineer time: check-ins, user questions, quarterly updates (amortized), troubleshooting.</t>
  </si>
  <si>
    <t xml:space="preserve">Other recurring cost per client ($/month)</t>
  </si>
  <si>
    <t xml:space="preserve">Update media, spare-parts reserve, monitoring and tooling per client.</t>
  </si>
  <si>
    <t xml:space="preserve">Sales &amp; marketing cost to win one client (CAC, $)</t>
  </si>
  <si>
    <t xml:space="preserve">Founder time, travel, demo and pilot costs per closed deal. Cold email to legal/healthcare/finance gets ~0.6% replies (Belkins 2025), so most early deals come from warm intros, MSPs and CLE. Early-stage estimate; track actuals.</t>
  </si>
  <si>
    <t xml:space="preserve">Hardware price to client ($)</t>
  </si>
  <si>
    <t xml:space="preserve">Hardware cost x (1 + markup).</t>
  </si>
  <si>
    <t xml:space="preserve">Company-wide assumptions</t>
  </si>
  <si>
    <t xml:space="preserve">Value</t>
  </si>
  <si>
    <t xml:space="preserve">Loaded delivery labor cost ($/hour)</t>
  </si>
  <si>
    <t xml:space="preserve">~$105k engineer salary + 20% burden over ~1,400 productive hours.</t>
  </si>
  <si>
    <t xml:space="preserve">Annual logo churn (%)</t>
  </si>
  <si>
    <t xml:space="preserve">SMB SaaS typically loses 10-20% of customers per year; owned on-prem hardware should reduce churn. Assumption.</t>
  </si>
  <si>
    <t xml:space="preserve">Monthly churn (derived)</t>
  </si>
  <si>
    <t xml:space="preserve">Converts annual churn to a monthly rate.</t>
  </si>
  <si>
    <t xml:space="preserve">Year-1 design-partner discount on subscriptions (%)</t>
  </si>
  <si>
    <t xml:space="preserve">Blended: design partners get ~50% off year one; later year-one clients pay list.</t>
  </si>
  <si>
    <t xml:space="preserve">Payroll taxes &amp; benefits (% of salary)</t>
  </si>
  <si>
    <t xml:space="preserve">Employer taxes + benefits. Assumption.</t>
  </si>
  <si>
    <t xml:space="preserve">Opex contingency (% of opex)</t>
  </si>
  <si>
    <t xml:space="preserve">Buffer for costs not listed.</t>
  </si>
  <si>
    <t xml:space="preserve">Support hours one engineer can deliver per year</t>
  </si>
  <si>
    <t xml:space="preserve">Productive hours per engineer per year available for client support.</t>
  </si>
  <si>
    <t xml:space="preserve">Maximum customer lifetime used for LTV (years)</t>
  </si>
  <si>
    <t xml:space="preserve">Caps LTV so low churn doesn't imply an unrealistic lifetime.</t>
  </si>
  <si>
    <t xml:space="preserve">Sales Plan: new clients signed per quarter</t>
  </si>
  <si>
    <t xml:space="preserve">New signed clients per quarter. Q1 = Oct-Dec 2026 (product build, no installs).</t>
  </si>
  <si>
    <t xml:space="preserve">Scenario</t>
  </si>
  <si>
    <t xml:space="preserve">Tier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</si>
  <si>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</si>
  <si>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</si>
  <si>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</si>
  <si>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</si>
  <si>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</si>
  <si>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</si>
  <si>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</si>
  <si>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</si>
  <si>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</si>
  <si>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</si>
  <si>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</si>
  <si>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</si>
  <si>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3-yr total</t>
  </si>
  <si>
    <t xml:space="preserve">Conservative</t>
  </si>
  <si>
    <t xml:space="preserve">Base: Q1 (Oct-Dec 2026) builds the demo-ready product. Q2-Q4 are 5 design partners and referrals, founder-led in one metro. Year 2 (16 clients) adds a sales/partner hire and 2-3 MSP partners. Year 3 (30 clients) adds a second metro or vertical. Conservative is ~55% of Base; Upside assumes MSP partners each bring several clients. Reality check: at ~0.6% cold-email reply rates (Belkins 2025), cold outreach alone would not produce these numbers.</t>
  </si>
  <si>
    <t xml:space="preserve">Base</t>
  </si>
  <si>
    <t xml:space="preserve">Upside</t>
  </si>
  <si>
    <t xml:space="preserve">Selected scenario (driven by Assumptions!B4)</t>
  </si>
  <si>
    <t xml:space="preserve">Selected</t>
  </si>
  <si>
    <t xml:space="preserve">Operating Expenses Plan</t>
  </si>
  <si>
    <t xml:space="preserve">Annual amounts; the Projection spreads them evenly over each year's months.</t>
  </si>
  <si>
    <t xml:space="preserve">Annual operating costs ($)</t>
  </si>
  <si>
    <t xml:space="preserve">Founder pay (total, all founders)</t>
  </si>
  <si>
    <t xml:space="preserve">Assumes 2 founders at $3k/month each in Year 1, $8k in Year 2, $11k in Year 3. Set to $0 if living on savings.</t>
  </si>
  <si>
    <t xml:space="preserve">Software, data and website</t>
  </si>
  <si>
    <t xml:space="preserve">Prospecting tools $3.6k (lean) to $14.2k (moderate) per year: Sales Navigator $1,080-1,800/yr, Apollo $49-119/user/mo, Hunter $34/mo, Clay $167+/mo. Plus Google Workspace, GitHub, website hosting, CRM.</t>
  </si>
  <si>
    <t xml:space="preserve">Insurance (tech E&amp;O + cyber + general liability)</t>
  </si>
  <si>
    <t xml:space="preserve">Year 1 ~$3,900 at Insureon averages (tech E&amp;O $110/mo, cyber $179/mo, GL $37/mo). Later years move toward Vouch startup medians (E&amp;O $3,700, cyber $2,900) and add D&amp;O ($6,300).</t>
  </si>
  <si>
    <t xml:space="preserve">Legal, accounting and trademark</t>
  </si>
  <si>
    <t xml:space="preserve">Formation $500 (Stripe Atlas); MSA, pilot, BAA and reseller contracts $3k-15k; bookkeeping and tax $3k-6k; trademark clearance and filing. Estimates.</t>
  </si>
  <si>
    <t xml:space="preserve">Security audits (pen test, SOC 2)</t>
  </si>
  <si>
    <t xml:space="preserve">Year 1: appliance pen test ~$5k + HIPAA program ~$4k. Year 2: Vanta ~$14k + SOC 2 Type I ~$12k + pen test + HIPAA upkeep. Year 3: SOC 2 Type II ($15.5k-50k) instead of Type I. Sources: soc2auditors.org, brightdefense.com, medcurity.com (2026).</t>
  </si>
  <si>
    <t xml:space="preserve">Marketing, events and CLE</t>
  </si>
  <si>
    <t xml:space="preserve">Year 1: ABA TECHSHOW 10x10 booth $5,050 + furniture $1,855 (Mar 2027), CLE accreditation fees (CA $159/activity; IL $50/course + $0.75/attorney-hour), local association sponsorships, content. Later: AICPA ENGAGE booth $6,800, state association booths ~$1.5-2k, Legalweek.</t>
  </si>
  <si>
    <t xml:space="preserve">Sales travel</t>
  </si>
  <si>
    <t xml:space="preserve">Local metro demos in Year 1 plus one national show; regional in Years 2-3. Assumption.</t>
  </si>
  <si>
    <t xml:space="preserve">Hires (salaried)</t>
  </si>
  <si>
    <t xml:space="preserve">Annual salary ($)</t>
  </si>
  <si>
    <t xml:space="preserve">Hire when active clients reach</t>
  </si>
  <si>
    <t xml:space="preserve">Installs start crowding out selling at ~5 clients. Salary is an assumption.</t>
  </si>
  <si>
    <t xml:space="preserve">Owns MSP partnerships and outbound. Salary is an assumption.</t>
  </si>
  <si>
    <t xml:space="preserve">One engineer carries ~25-45 Practice/Firm clients (Unit Economics row 32). Assumption.</t>
  </si>
  <si>
    <t xml:space="preserve">Assumption.</t>
  </si>
  <si>
    <t xml:space="preserve">Amount ($)</t>
  </si>
  <si>
    <t xml:space="preserve">Month (1-36)</t>
  </si>
  <si>
    <t xml:space="preserve">Portable demo box (ASUS Ascent GX10 / DGX Spark) + UPS</t>
  </si>
  <si>
    <t xml:space="preserve">ASUS GX10 $3,999 / DGX Spark $4,699 (Sept 2026).</t>
  </si>
  <si>
    <t xml:space="preserve">Pilot / loaner workstation (1x RTX PRO 6000)</t>
  </si>
  <si>
    <t xml:space="preserve">Same as Firm tier BOM. Used for paid pilots, then as a lab box.</t>
  </si>
  <si>
    <t xml:space="preserve">Second demo box + spare parts pool</t>
  </si>
  <si>
    <t xml:space="preserve">Assumption</t>
  </si>
  <si>
    <t xml:space="preserve">36-Month Projection (monthly, USD)</t>
  </si>
  <si>
    <t xml:space="preserve">Month</t>
  </si>
  <si>
    <t xml:space="preserve">Year</t>
  </si>
  <si>
    <t xml:space="preserve">Quarter</t>
  </si>
  <si>
    <t xml:space="preserve">  Practice</t>
  </si>
  <si>
    <t xml:space="preserve">  Firm</t>
  </si>
  <si>
    <t xml:space="preserve">  Enterprise</t>
  </si>
  <si>
    <t xml:space="preserve">Active clients (end of month)</t>
  </si>
  <si>
    <t xml:space="preserve">  Total active clients</t>
  </si>
  <si>
    <t xml:space="preserve">Revenue</t>
  </si>
  <si>
    <t xml:space="preserve">  Hardware resale</t>
  </si>
  <si>
    <t xml:space="preserve">  Setup &amp; onboarding fees</t>
  </si>
  <si>
    <t xml:space="preserve">  Subscriptions</t>
  </si>
  <si>
    <t xml:space="preserve">Cost of revenue</t>
  </si>
  <si>
    <t xml:space="preserve">  Hardware cost</t>
  </si>
  <si>
    <t xml:space="preserve">  Install labor, travel &amp; burn-in</t>
  </si>
  <si>
    <t xml:space="preserve">  Support labor &amp; recurring costs</t>
  </si>
  <si>
    <t xml:space="preserve">Total cost of revenue</t>
  </si>
  <si>
    <t xml:space="preserve">  Payroll (founders + hires, incl. taxes &amp; benefits)</t>
  </si>
  <si>
    <t xml:space="preserve">  Software, data and website</t>
  </si>
  <si>
    <t xml:space="preserve">  Insurance (tech E&amp;O + cyber + general liability)</t>
  </si>
  <si>
    <t xml:space="preserve">  Legal, accounting and trademark</t>
  </si>
  <si>
    <t xml:space="preserve">  Security audits (pen test, SOC 2)</t>
  </si>
  <si>
    <t xml:space="preserve">  Marketing, events and CLE</t>
  </si>
  <si>
    <t xml:space="preserve">  Sales travel</t>
  </si>
  <si>
    <t xml:space="preserve">  Contingency</t>
  </si>
  <si>
    <t xml:space="preserve">Total operating expenses</t>
  </si>
  <si>
    <t xml:space="preserve">EBITDA (operating profit before tax)</t>
  </si>
  <si>
    <t xml:space="preserve">Capital purchases (demo &amp; lab hardware)</t>
  </si>
  <si>
    <t xml:space="preserve">Net cash flow</t>
  </si>
  <si>
    <t xml:space="preserve">Cash balance (end of month)</t>
  </si>
  <si>
    <t xml:space="preserve">ARR at list price (subscriptions x 12)</t>
  </si>
  <si>
    <t xml:space="preserve">Helper: month number if EBITDA &gt;= 0 from here through month 36, else 999</t>
  </si>
  <si>
    <t xml:space="preserve">Helper: Field / solutions engineer on payroll (1 = yes)</t>
  </si>
  <si>
    <t xml:space="preserve">Helper: Sales / partner manager (base; commission sits in CAC) on payroll (1 = yes)</t>
  </si>
  <si>
    <t xml:space="preserve">Helper: Second engineer on payroll (1 = yes)</t>
  </si>
  <si>
    <t xml:space="preserve">Helper: Customer success / support on payroll (1 = yes)</t>
  </si>
  <si>
    <t xml:space="preserve">Hardware Bill of Materials (cost to you, USD)</t>
  </si>
  <si>
    <t xml:space="preserve">Sept 2026 prices. Memory shortages roughly doubled GPU and server prices in 12-18 months, so re-quote before every proposal (quotes valid 7-14 days). Blue cells are inputs.</t>
  </si>
  <si>
    <t xml:space="preserve">Practice tier: GB10 desktop (NVIDIA DGX Spark or ASUS Ascent GX10), 128 GB unified memory</t>
  </si>
  <si>
    <t xml:space="preserve">Component</t>
  </si>
  <si>
    <t xml:space="preserve">Qty</t>
  </si>
  <si>
    <t xml:space="preserve">Unit cost ($)</t>
  </si>
  <si>
    <t xml:space="preserve">Extended ($)</t>
  </si>
  <si>
    <t xml:space="preserve">Source / notes</t>
  </si>
  <si>
    <t xml:space="preserve">NVIDIA DGX Spark (GB10, 128 GB, 4 TB)</t>
  </si>
  <si>
    <t xml:space="preserve">$4,699 after Feb 2026 increase (was $3,999). ASUS Ascent GX10 1 TB is $3,999. https://aicybr.com/blog/gb10-ai-workstations-dgx-spark-dell-asus-hp-lenovo</t>
  </si>
  <si>
    <t xml:space="preserve">UPS, ~1 kVA line-interactive</t>
  </si>
  <si>
    <t xml:space="preserve">Estimate ($250-600 range)</t>
  </si>
  <si>
    <t xml:space="preserve">Encrypted backup drive (config and search indexes)</t>
  </si>
  <si>
    <t xml:space="preserve">Estimate; NAND prices elevated in 2026</t>
  </si>
  <si>
    <t xml:space="preserve">Cabling, labels, tamper-evident seals</t>
  </si>
  <si>
    <t xml:space="preserve">Estimate</t>
  </si>
  <si>
    <t xml:space="preserve">Total hardware cost - Practice</t>
  </si>
  <si>
    <t xml:space="preserve">Serves ~10-40 staff: ~4-8 simultaneous short requests; 1-3 long-document jobs at once (estimate from published benchmarks).</t>
  </si>
  <si>
    <t xml:space="preserve">Firm tier: Workstation with 1x NVIDIA RTX PRO 6000 Blackwell (96 GB), 128 GB RAM</t>
  </si>
  <si>
    <t xml:space="preserve">Dell Pro Max T2 workstation, Core Ultra 9, 128 GB, 1x RTX PRO 6000</t>
  </si>
  <si>
    <t xml:space="preserve">$19,627.94 (MSRP $25,516) Sept 2026, out of stock at that seller. https://www.monitors.com/products/dell-pro-max-tower-t2-core-ultra-9-285-128gb-rtx-pro-6000-blackwell</t>
  </si>
  <si>
    <t xml:space="preserve">Additional 4 TB NVMe for models and indexes</t>
  </si>
  <si>
    <t xml:space="preserve">UPS, ~2.2 kVA</t>
  </si>
  <si>
    <t xml:space="preserve">Estimate ($700-1,500 range)</t>
  </si>
  <si>
    <t xml:space="preserve">Backup storage (small NAS or encrypted drives)</t>
  </si>
  <si>
    <t xml:space="preserve">Networking and accessories</t>
  </si>
  <si>
    <t xml:space="preserve">Total hardware cost - Firm</t>
  </si>
  <si>
    <t xml:space="preserve">Serves ~50-150 staff: ~50 simultaneous short requests at ~31 tokens/s each (measured, vLLM); 6-10 long-document jobs at once.</t>
  </si>
  <si>
    <t xml:space="preserve">Enterprise tier: Tower with 2x NVIDIA RTX PRO 6000 Blackwell Max-Q (192 GB GPU memory), Threadripper PRO, 256 GB ECC</t>
  </si>
  <si>
    <t xml:space="preserve">NVIDIA RTX PRO 6000 Blackwell Max-Q 96 GB</t>
  </si>
  <si>
    <t xml:space="preserve">$16,000 NVIDIA list; Newegg $17,999.99 (Sept 2026). https://www.thundercompute.com/blog/nvidia-rtx-pro-6000-pricing</t>
  </si>
  <si>
    <t xml:space="preserve">Workstation platform: Threadripper PRO, 256 GB ECC, 8 TB NVMe, 1600 W PSU (builder quote)</t>
  </si>
  <si>
    <t xml:space="preserve">Estimate: $50-60k all-in for the 2-GPU tier minus GPUs. Builders: Puget, Bizon, Exxact.</t>
  </si>
  <si>
    <t xml:space="preserve">UPS, ~3 kVA</t>
  </si>
  <si>
    <t xml:space="preserve">Estimate ($1,000-2,000 range)</t>
  </si>
  <si>
    <t xml:space="preserve">Backup NAS</t>
  </si>
  <si>
    <t xml:space="preserve">10 GbE networking and accessories</t>
  </si>
  <si>
    <t xml:space="preserve">Total hardware cost - Enterprise</t>
  </si>
  <si>
    <t xml:space="preserve">Serves ~100-300 staff: ~100 simultaneous short requests; 15-20 long-document jobs at once (estimate). Beyond 300 users, quote a 4x RTX PRO 6000 server (~$126k).</t>
  </si>
  <si>
    <t xml:space="preserve">Market price benchmarks (for positioning, not formulas)</t>
  </si>
  <si>
    <t xml:space="preserve">From the competitor research (02-competition.md). (3P) = third-party estimate; the vendor doesn't publish the price.</t>
  </si>
  <si>
    <t xml:space="preserve">Vendor / product</t>
  </si>
  <si>
    <t xml:space="preserve">Category</t>
  </si>
  <si>
    <t xml:space="preserve">Published or reported price</t>
  </si>
  <si>
    <t xml:space="preserve">Deployment</t>
  </si>
  <si>
    <t xml:space="preserve">Source</t>
  </si>
  <si>
    <t xml:space="preserve">Harvey</t>
  </si>
  <si>
    <t xml:space="preserve">Legal AI (cloud)</t>
  </si>
  <si>
    <t xml:space="preserve">~$1,000-2,000/seat/month mid-market (3P)</t>
  </si>
  <si>
    <t xml:space="preserve">Cloud only</t>
  </si>
  <si>
    <t xml:space="preserve">https://www.insidelegalai.com/articles/harvey-ai-2026-pricing-midsized</t>
  </si>
  <si>
    <t xml:space="preserve">Thomson Reuters CoCounsel Legal</t>
  </si>
  <si>
    <t xml:space="preserve">~$492/user/month for a 5-attorney firm (3P)</t>
  </si>
  <si>
    <t xml:space="preserve">https://costbench.com/software/ai-legal-tools/cocounsel/</t>
  </si>
  <si>
    <t xml:space="preserve">Lexis+ AI / Protege</t>
  </si>
  <si>
    <t xml:space="preserve">~$250-500/seat/month small firms (3P)</t>
  </si>
  <si>
    <t xml:space="preserve">https://www.vaquill.ai/blog/lexis-plus-ai-pricing</t>
  </si>
  <si>
    <t xml:space="preserve">Clio Work (vLex Vincent)</t>
  </si>
  <si>
    <t xml:space="preserve">$199/user/month</t>
  </si>
  <si>
    <t xml:space="preserve">https://www.lawnext.com/2026/04/clio-work-clios-ai-workspace-is-now-available-to-solo-and-smaller-law-firms-as-a-standalone-product.html</t>
  </si>
  <si>
    <t xml:space="preserve">InPractice / Chartely / Medrecords AI</t>
  </si>
  <si>
    <t xml:space="preserve">Medical record review (cloud)</t>
  </si>
  <si>
    <t xml:space="preserve">$0.04-0.10 per page</t>
  </si>
  <si>
    <t xml:space="preserve">https://medrecords.ai/guides/medical-record-review-cost/</t>
  </si>
  <si>
    <t xml:space="preserve">Legal nurse consultant</t>
  </si>
  <si>
    <t xml:space="preserve">Medical record review (human)</t>
  </si>
  <si>
    <t xml:space="preserve">~$2,500-5,000 per case (3P)</t>
  </si>
  <si>
    <t xml:space="preserve">People</t>
  </si>
  <si>
    <t xml:space="preserve">Freed</t>
  </si>
  <si>
    <t xml:space="preserve">Ambient scribe (cloud)</t>
  </si>
  <si>
    <t xml:space="preserve">$39-119/clinician/month</t>
  </si>
  <si>
    <t xml:space="preserve">Cloud with BAA</t>
  </si>
  <si>
    <t xml:space="preserve">https://www.getfreed.ai/pricing</t>
  </si>
  <si>
    <t xml:space="preserve">Microsoft Dragon Copilot</t>
  </si>
  <si>
    <t xml:space="preserve">$159.99/user/month reseller list (Practice SKU, retired 2026)</t>
  </si>
  <si>
    <t xml:space="preserve">Azure cloud</t>
  </si>
  <si>
    <t xml:space="preserve">https://www.schneider.im/microsoft-dragon-copilot-price-decrease-licensing-changes/</t>
  </si>
  <si>
    <t xml:space="preserve">Jump</t>
  </si>
  <si>
    <t xml:space="preserve">RIA meeting AI (cloud)</t>
  </si>
  <si>
    <t xml:space="preserve">$100/advisor/month (~$80 annual)</t>
  </si>
  <si>
    <t xml:space="preserve">https://jump.ai/pricing</t>
  </si>
  <si>
    <t xml:space="preserve">Blue J</t>
  </si>
  <si>
    <t xml:space="preserve">Tax research AI (cloud)</t>
  </si>
  <si>
    <t xml:space="preserve">$1,498/user/year</t>
  </si>
  <si>
    <t xml:space="preserve">https://www.bluej.com/pricing</t>
  </si>
  <si>
    <t xml:space="preserve">Iternal AirgapAI</t>
  </si>
  <si>
    <t xml:space="preserve">Local AI app (laptop)</t>
  </si>
  <si>
    <t xml:space="preserve">$35/month or $697 perpetual per user</t>
  </si>
  <si>
    <t xml:space="preserve">On-device</t>
  </si>
  <si>
    <t xml:space="preserve">https://iternal.ai/airgapai</t>
  </si>
  <si>
    <t xml:space="preserve">LM Studio / Jan / GPT4All</t>
  </si>
  <si>
    <t xml:space="preserve">Local AI app (free)</t>
  </si>
  <si>
    <t xml:space="preserve">$0</t>
  </si>
  <si>
    <t xml:space="preserve">https://lmstudio.ai/blog/free-for-work</t>
  </si>
  <si>
    <t xml:space="preserve">Open WebUI</t>
  </si>
  <si>
    <t xml:space="preserve">Self-hosted chat UI</t>
  </si>
  <si>
    <t xml:space="preserve">Free; enterprise license ~$5,000/yr for 50 users + $3/user/month (reported)</t>
  </si>
  <si>
    <t xml:space="preserve">Self-hosted</t>
  </si>
  <si>
    <t xml:space="preserve">https://www.areebi.com/resources/blog/open-webui-enterprise-license-explained</t>
  </si>
  <si>
    <t xml:space="preserve">eRacks healthcare AI server</t>
  </si>
  <si>
    <t xml:space="preserve">On-prem appliance</t>
  </si>
  <si>
    <t xml:space="preserve">From $8,995 (hardware + open-source stack)</t>
  </si>
  <si>
    <t xml:space="preserve">On-prem</t>
  </si>
  <si>
    <t xml:space="preserve">https://eracks.com/healthcare-ai-server/</t>
  </si>
  <si>
    <t xml:space="preserve">Zanus AI</t>
  </si>
  <si>
    <t xml:space="preserve">On-prem legal AI</t>
  </si>
  <si>
    <t xml:space="preserve">$19,900 one-time software + server ~$20-55k (3P)</t>
  </si>
  <si>
    <t xml:space="preserve">https://zanusai.com/products/ai-software-for-legal-law-firms</t>
  </si>
  <si>
    <t xml:space="preserve">OpenClawInstall</t>
  </si>
  <si>
    <t xml:space="preserve">Managed private AI (legal)</t>
  </si>
  <si>
    <t xml:space="preserve">$149 / $299 / $599 per user/month</t>
  </si>
  <si>
    <t xml:space="preserve">On-prem / private</t>
  </si>
  <si>
    <t xml:space="preserve">https://www.openclawinstall.ai/blog/legal-ai-pricing-2026-what-law-firms-pay/</t>
  </si>
  <si>
    <t xml:space="preserve">ibl.ai</t>
  </si>
  <si>
    <t xml:space="preserve">Self-hosted platform (legal)</t>
  </si>
  <si>
    <t xml:space="preserve">~$5,000-8,000/month for a 200-lawyer firm</t>
  </si>
  <si>
    <t xml:space="preserve">Inside firm network</t>
  </si>
  <si>
    <t xml:space="preserve">https://ibl.ai/blog/ai-cost-math-for-law-firms-per-seat-vs-usage</t>
  </si>
  <si>
    <t xml:space="preserve">Microsoft 365 Copilot</t>
  </si>
  <si>
    <t xml:space="preserve">Horizontal AI (cloud)</t>
  </si>
  <si>
    <t xml:space="preserve">~$30/user/month (2023 launch list price; 2026 SMB pricing unverified)</t>
  </si>
  <si>
    <t xml:space="preserve">Microsoft launch announcement, Nov 2023 (not re-verified for 2026)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</si>
</sst>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;\(#,##0.0\);\-"/>
    <numFmt numFmtId="166" formatCode="\$#,##0;&quot;($&quot;#,##0\);\-"/>
    <numFmt numFmtId="167" formatCode="0.0%;\(0.0%\);\-"/>
    <numFmt numFmtId="168" formatCode="#,##0;\(#,##0\);\-"/>
    <numFmt numFmtId="169" formatCode="0.0\x"/>
    <numFmt numFmtId="170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CE6F1"/>
        <bgColor rgb="FFF2F2F2"/>
      </patternFill>
    </fill>
    <fill>
      <patternFill patternType="solid">
        <fgColor rgb="FFF2F2F2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5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6" t="s">
        <v>10</v>
      </c>
    </row>
    <row r="14" customFormat="false" ht="15" hidden="false" customHeight="false" outlineLevel="0" collapsed="false">
      <c r="A14" s="7" t="s">
        <v>11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 t="s">
        <v>18</v>
      </c>
    </row>
    <row r="23" customFormat="false" ht="15" hidden="false" customHeight="false" outlineLevel="0" collapsed="false">
      <c r="A23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20</v>
      </c>
    </row>
    <row r="2" customFormat="false" ht="15" hidden="false" customHeight="false" outlineLevel="0" collapsed="false">
      <c r="A2" s="4" t="str">
        <f aca="false">CHOOSE(Assumptions!$B$4,"Scenario: Conservative","Scenario: Base","Scenario: Upside")&amp;IF(Assumptions!$B$5=1,"  |  Hardware resold by you","  |  Client buys hardware direct")</f>
        <v>Scenario: Base  |  Hardware resold by you</v>
      </c>
    </row>
    <row r="4" customFormat="false" ht="15" hidden="false" customHeight="false" outlineLevel="0" collapsed="false">
      <c r="A4" s="8" t="s">
        <v>21</v>
      </c>
      <c r="B4" s="8" t="s">
        <v>22</v>
      </c>
      <c r="C4" s="8" t="s">
        <v>23</v>
      </c>
      <c r="D4" s="8" t="s">
        <v>24</v>
      </c>
      <c r="E4" s="8" t="s">
        <v>25</v>
      </c>
    </row>
    <row r="5" customFormat="false" ht="15" hidden="false" customHeight="false" outlineLevel="0" collapsed="false">
      <c r="A5" s="3" t="s">
        <v>26</v>
      </c>
      <c r="B5" s="9" t="n">
        <f aca="false">SUMIF(Projection!$B$3:$AK$3,1,Projection!$B$7:$AK$7)+SUMIF(Projection!$B$3:$AK$3,1,Projection!$B$8:$AK$8)+SUMIF(Projection!$B$3:$AK$3,1,Projection!$B$9:$AK$9)</f>
        <v>5</v>
      </c>
      <c r="C5" s="9" t="n">
        <f aca="false">SUMIF(Projection!$B$3:$AK$3,2,Projection!$B$7:$AK$7)+SUMIF(Projection!$B$3:$AK$3,2,Projection!$B$8:$AK$8)+SUMIF(Projection!$B$3:$AK$3,2,Projection!$B$9:$AK$9)</f>
        <v>16</v>
      </c>
      <c r="D5" s="9" t="n">
        <f aca="false">SUMIF(Projection!$B$3:$AK$3,3,Projection!$B$7:$AK$7)+SUMIF(Projection!$B$3:$AK$3,3,Projection!$B$8:$AK$8)+SUMIF(Projection!$B$3:$AK$3,3,Projection!$B$9:$AK$9)</f>
        <v>30</v>
      </c>
      <c r="E5" s="2" t="s">
        <v>27</v>
      </c>
    </row>
    <row r="6" customFormat="false" ht="15" hidden="false" customHeight="false" outlineLevel="0" collapsed="false">
      <c r="A6" s="3" t="s">
        <v>28</v>
      </c>
      <c r="B6" s="9" t="n">
        <f aca="false">INDEX(Projection!$B$15:$AK$15,1,12*1)</f>
        <v>4.85401055316109</v>
      </c>
      <c r="C6" s="9" t="n">
        <f aca="false">INDEX(Projection!$B$15:$AK$15,1,12*2)</f>
        <v>19.6708752542067</v>
      </c>
      <c r="D6" s="9" t="n">
        <f aca="false">INDEX(Projection!$B$15:$AK$15,1,12*3)</f>
        <v>46.4037130189332</v>
      </c>
      <c r="E6" s="2"/>
    </row>
    <row r="7" customFormat="false" ht="15" hidden="false" customHeight="false" outlineLevel="0" collapsed="false">
      <c r="A7" s="10" t="s">
        <v>29</v>
      </c>
    </row>
    <row r="8" customFormat="false" ht="15" hidden="false" customHeight="false" outlineLevel="0" collapsed="false">
      <c r="A8" s="3" t="s">
        <v>30</v>
      </c>
      <c r="B8" s="11" t="n">
        <f aca="false">SUMIF(Projection!$B$3:$AK$3,1,Projection!$B$18:$AK$18)</f>
        <v>70325.95</v>
      </c>
      <c r="C8" s="11" t="n">
        <f aca="false">SUMIF(Projection!$B$3:$AK$3,2,Projection!$B$18:$AK$18)</f>
        <v>297031.2</v>
      </c>
      <c r="D8" s="11" t="n">
        <f aca="false">SUMIF(Projection!$B$3:$AK$3,3,Projection!$B$18:$AK$18)</f>
        <v>641790.85</v>
      </c>
      <c r="E8" s="2" t="s">
        <v>31</v>
      </c>
    </row>
    <row r="9" customFormat="false" ht="15" hidden="false" customHeight="false" outlineLevel="0" collapsed="false">
      <c r="A9" s="3" t="s">
        <v>32</v>
      </c>
      <c r="B9" s="11" t="n">
        <f aca="false">SUMIF(Projection!$B$3:$AK$3,1,Projection!$B$19:$AK$19)</f>
        <v>37500</v>
      </c>
      <c r="C9" s="11" t="n">
        <f aca="false">SUMIF(Projection!$B$3:$AK$3,2,Projection!$B$19:$AK$19)</f>
        <v>145000</v>
      </c>
      <c r="D9" s="11" t="n">
        <f aca="false">SUMIF(Projection!$B$3:$AK$3,3,Projection!$B$19:$AK$19)</f>
        <v>301500</v>
      </c>
      <c r="E9" s="2"/>
    </row>
    <row r="10" customFormat="false" ht="15" hidden="false" customHeight="false" outlineLevel="0" collapsed="false">
      <c r="A10" s="3" t="s">
        <v>33</v>
      </c>
      <c r="B10" s="11" t="n">
        <f aca="false">SUMIF(Projection!$B$3:$AK$3,1,Projection!$B$20:$AK$20)</f>
        <v>34705.3343105549</v>
      </c>
      <c r="C10" s="11" t="n">
        <f aca="false">SUMIF(Projection!$B$3:$AK$3,2,Projection!$B$20:$AK$20)</f>
        <v>414690.301936401</v>
      </c>
      <c r="D10" s="11" t="n">
        <f aca="false">SUMIF(Projection!$B$3:$AK$3,3,Projection!$B$20:$AK$20)</f>
        <v>1245644.98038372</v>
      </c>
      <c r="E10" s="2" t="s">
        <v>34</v>
      </c>
    </row>
    <row r="11" customFormat="false" ht="15" hidden="false" customHeight="false" outlineLevel="0" collapsed="false">
      <c r="A11" s="4" t="s">
        <v>35</v>
      </c>
      <c r="B11" s="12" t="n">
        <f aca="false">SUM(B8:B10)</f>
        <v>142531.284310555</v>
      </c>
      <c r="C11" s="12" t="n">
        <f aca="false">SUM(C8:C10)</f>
        <v>856721.501936401</v>
      </c>
      <c r="D11" s="12" t="n">
        <f aca="false">SUM(D8:D10)</f>
        <v>2188935.83038372</v>
      </c>
      <c r="E11" s="2"/>
    </row>
    <row r="12" customFormat="false" ht="15" hidden="false" customHeight="false" outlineLevel="0" collapsed="false">
      <c r="A12" s="4" t="s">
        <v>36</v>
      </c>
      <c r="B12" s="12" t="n">
        <f aca="false">SUMIF(Projection!$B$3:$AK$3,1,Projection!$B$28:$AK$28)</f>
        <v>57953.5905799719</v>
      </c>
      <c r="C12" s="12" t="n">
        <f aca="false">SUMIF(Projection!$B$3:$AK$3,2,Projection!$B$28:$AK$28)</f>
        <v>474300.237438766</v>
      </c>
      <c r="D12" s="12" t="n">
        <f aca="false">SUMIF(Projection!$B$3:$AK$3,3,Projection!$B$28:$AK$28)</f>
        <v>1315595.70599217</v>
      </c>
      <c r="E12" s="2"/>
    </row>
    <row r="13" customFormat="false" ht="15" hidden="false" customHeight="false" outlineLevel="0" collapsed="false">
      <c r="A13" s="3" t="s">
        <v>37</v>
      </c>
      <c r="B13" s="13" t="n">
        <f aca="false">IF(B11=0,0,B12/B11)</f>
        <v>0.406602598582494</v>
      </c>
      <c r="C13" s="13" t="n">
        <f aca="false">IF(C11=0,0,C12/C11)</f>
        <v>0.553622427319416</v>
      </c>
      <c r="D13" s="13" t="n">
        <f aca="false">IF(D11=0,0,D12/D11)</f>
        <v>0.601020682164788</v>
      </c>
      <c r="E13" s="2"/>
    </row>
    <row r="14" customFormat="false" ht="15" hidden="false" customHeight="false" outlineLevel="0" collapsed="false">
      <c r="A14" s="3" t="s">
        <v>38</v>
      </c>
      <c r="B14" s="11" t="n">
        <f aca="false">SUMIF(Projection!$B$3:$AK$3,1,Projection!$B$40:$AK$40)</f>
        <v>166540</v>
      </c>
      <c r="C14" s="11" t="n">
        <f aca="false">SUMIF(Projection!$B$3:$AK$3,2,Projection!$B$40:$AK$40)</f>
        <v>613690</v>
      </c>
      <c r="D14" s="11" t="n">
        <f aca="false">SUMIF(Projection!$B$3:$AK$3,3,Projection!$B$40:$AK$40)</f>
        <v>966130</v>
      </c>
      <c r="E14" s="2"/>
    </row>
    <row r="15" customFormat="false" ht="15" hidden="false" customHeight="false" outlineLevel="0" collapsed="false">
      <c r="A15" s="4" t="s">
        <v>39</v>
      </c>
      <c r="B15" s="12" t="n">
        <f aca="false">B12-B14</f>
        <v>-108586.409420028</v>
      </c>
      <c r="C15" s="12" t="n">
        <f aca="false">C12-C14</f>
        <v>-139389.762561234</v>
      </c>
      <c r="D15" s="12" t="n">
        <f aca="false">D12-D14</f>
        <v>349465.705992169</v>
      </c>
      <c r="E15" s="2"/>
    </row>
    <row r="16" customFormat="false" ht="15" hidden="false" customHeight="false" outlineLevel="0" collapsed="false">
      <c r="A16" s="3" t="s">
        <v>40</v>
      </c>
      <c r="B16" s="11" t="n">
        <f aca="false">SUMIF(Projection!$B$3:$AK$3,1,Projection!$B$43:$AK$43)</f>
        <v>28000</v>
      </c>
      <c r="C16" s="11" t="n">
        <f aca="false">SUMIF(Projection!$B$3:$AK$3,2,Projection!$B$43:$AK$43)</f>
        <v>8000</v>
      </c>
      <c r="D16" s="11" t="n">
        <f aca="false">SUMIF(Projection!$B$3:$AK$3,3,Projection!$B$43:$AK$43)</f>
        <v>0</v>
      </c>
      <c r="E16" s="2"/>
    </row>
    <row r="17" customFormat="false" ht="15" hidden="false" customHeight="false" outlineLevel="0" collapsed="false">
      <c r="A17" s="4" t="s">
        <v>41</v>
      </c>
      <c r="B17" s="12" t="n">
        <f aca="false">INDEX(Projection!$B$45:$AK$45,1,12*1)</f>
        <v>-136586.409420028</v>
      </c>
      <c r="C17" s="12" t="n">
        <f aca="false">INDEX(Projection!$B$45:$AK$45,1,12*2)</f>
        <v>-283976.171981262</v>
      </c>
      <c r="D17" s="12" t="n">
        <f aca="false">INDEX(Projection!$B$45:$AK$45,1,12*3)</f>
        <v>65489.5340109068</v>
      </c>
      <c r="E17" s="2" t="s">
        <v>42</v>
      </c>
    </row>
    <row r="18" customFormat="false" ht="15" hidden="false" customHeight="false" outlineLevel="0" collapsed="false">
      <c r="A18" s="4" t="s">
        <v>43</v>
      </c>
      <c r="B18" s="12" t="n">
        <f aca="false">INDEX(Projection!$B$47:$AK$47,1,12*1)</f>
        <v>146076.131616434</v>
      </c>
      <c r="C18" s="12" t="n">
        <f aca="false">INDEX(Projection!$B$47:$AK$47,1,12*2)</f>
        <v>689324.259971819</v>
      </c>
      <c r="D18" s="12" t="n">
        <f aca="false">INDEX(Projection!$B$47:$AK$47,1,12*3)</f>
        <v>1780192.88340635</v>
      </c>
      <c r="E18" s="2" t="s">
        <v>44</v>
      </c>
    </row>
    <row r="19" customFormat="false" ht="15" hidden="false" customHeight="false" outlineLevel="0" collapsed="false">
      <c r="A19" s="3" t="s">
        <v>45</v>
      </c>
      <c r="B19" s="14" t="n">
        <f aca="false">Projection!$M$49+Projection!$M$50+Projection!$M$51+Projection!$M$52</f>
        <v>0</v>
      </c>
      <c r="C19" s="14" t="n">
        <f aca="false">Projection!$Y$49+Projection!$Y$50+Projection!$Y$51+Projection!$Y$52</f>
        <v>2</v>
      </c>
      <c r="D19" s="14" t="n">
        <f aca="false">Projection!$AK$49+Projection!$AK$50+Projection!$AK$51+Projection!$AK$52</f>
        <v>4</v>
      </c>
      <c r="E19" s="2" t="s">
        <v>46</v>
      </c>
    </row>
    <row r="20" customFormat="false" ht="15" hidden="false" customHeight="false" outlineLevel="0" collapsed="false">
      <c r="A20" s="10" t="s">
        <v>47</v>
      </c>
    </row>
    <row r="21" customFormat="false" ht="15" hidden="false" customHeight="false" outlineLevel="0" collapsed="false">
      <c r="A21" s="3" t="s">
        <v>48</v>
      </c>
      <c r="B21" s="15" t="n">
        <f aca="false">IF(MIN(Projection!$B$48:$AK$48)=999,"Not within 36 months",MIN(Projection!$B$48:$AK$48))</f>
        <v>23</v>
      </c>
    </row>
    <row r="22" customFormat="false" ht="15" hidden="false" customHeight="false" outlineLevel="0" collapsed="false">
      <c r="A22" s="3" t="s">
        <v>49</v>
      </c>
      <c r="B22" s="12" t="n">
        <f aca="false">MIN(Projection!$B$45:$AK$45)</f>
        <v>-286825.263119692</v>
      </c>
    </row>
    <row r="23" customFormat="false" ht="15" hidden="false" customHeight="false" outlineLevel="0" collapsed="false">
      <c r="A23" s="3" t="s">
        <v>50</v>
      </c>
      <c r="B23" s="16" t="n">
        <f aca="false">MAX(0,-B22)</f>
        <v>286825.263119692</v>
      </c>
      <c r="E23" s="2" t="s">
        <v>51</v>
      </c>
    </row>
    <row r="24" customFormat="false" ht="15" hidden="false" customHeight="false" outlineLevel="0" collapsed="false">
      <c r="A24" s="3" t="s">
        <v>52</v>
      </c>
      <c r="B24" s="9" t="n">
        <f aca="false">Projection!$AK$15</f>
        <v>46.4037130189332</v>
      </c>
    </row>
    <row r="26" customFormat="false" ht="15" hidden="false" customHeight="false" outlineLevel="0" collapsed="false">
      <c r="A26" s="10" t="s">
        <v>53</v>
      </c>
    </row>
    <row r="27" customFormat="false" ht="15" hidden="false" customHeight="false" outlineLevel="0" collapsed="false">
      <c r="A27" s="8" t="s">
        <v>54</v>
      </c>
      <c r="B27" s="8" t="s">
        <v>55</v>
      </c>
      <c r="C27" s="8" t="s">
        <v>56</v>
      </c>
      <c r="D27" s="8"/>
      <c r="E27" s="8"/>
    </row>
    <row r="28" customFormat="false" ht="15" hidden="false" customHeight="false" outlineLevel="0" collapsed="false">
      <c r="A28" s="3" t="s">
        <v>57</v>
      </c>
      <c r="B28" s="14" t="n">
        <f aca="false">IFERROR(MATCH(1,Projection!$B$49:$AK$49,0),"Not within 36 months")</f>
        <v>14</v>
      </c>
      <c r="C28" s="14" t="n">
        <f aca="false">'Opex Plan'!$C$13</f>
        <v>5</v>
      </c>
    </row>
    <row r="29" customFormat="false" ht="15" hidden="false" customHeight="false" outlineLevel="0" collapsed="false">
      <c r="A29" s="3" t="s">
        <v>58</v>
      </c>
      <c r="B29" s="14" t="n">
        <f aca="false">IFERROR(MATCH(1,Projection!$B$50:$AK$50,0),"Not within 36 months")</f>
        <v>17</v>
      </c>
      <c r="C29" s="14" t="n">
        <f aca="false">'Opex Plan'!$C$14</f>
        <v>8</v>
      </c>
    </row>
    <row r="30" customFormat="false" ht="15" hidden="false" customHeight="false" outlineLevel="0" collapsed="false">
      <c r="A30" s="3" t="s">
        <v>59</v>
      </c>
      <c r="B30" s="14" t="n">
        <f aca="false">IFERROR(MATCH(1,Projection!$B$51:$AK$51,0),"Not within 36 months")</f>
        <v>28</v>
      </c>
      <c r="C30" s="14" t="n">
        <f aca="false">'Opex Plan'!$C$15</f>
        <v>25</v>
      </c>
    </row>
    <row r="31" customFormat="false" ht="15" hidden="false" customHeight="false" outlineLevel="0" collapsed="false">
      <c r="A31" s="3" t="s">
        <v>60</v>
      </c>
      <c r="B31" s="14" t="n">
        <f aca="false">IFERROR(MATCH(1,Projection!$B$52:$AK$52,0),"Not within 36 months")</f>
        <v>35</v>
      </c>
      <c r="C31" s="14" t="n">
        <f aca="false">'Opex Plan'!$C$16</f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4" min="2" style="0" width="15"/>
    <col collapsed="false" customWidth="true" hidden="false" outlineLevel="0" max="5" min="5" style="0" width="80"/>
  </cols>
  <sheetData>
    <row r="1" customFormat="false" ht="17.35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4" customFormat="false" ht="15" hidden="false" customHeight="false" outlineLevel="0" collapsed="false">
      <c r="A4" s="8" t="s">
        <v>63</v>
      </c>
      <c r="B4" s="8" t="s">
        <v>64</v>
      </c>
      <c r="C4" s="8" t="s">
        <v>65</v>
      </c>
      <c r="D4" s="8" t="s">
        <v>66</v>
      </c>
      <c r="E4" s="8" t="s">
        <v>67</v>
      </c>
    </row>
    <row r="5" customFormat="false" ht="15" hidden="false" customHeight="false" outlineLevel="0" collapsed="false">
      <c r="A5" s="3" t="s">
        <v>68</v>
      </c>
      <c r="B5" s="17" t="n">
        <f aca="false">Assumptions!B20*Assumptions!$B$5</f>
        <v>6323.85</v>
      </c>
      <c r="C5" s="17" t="n">
        <f aca="false">Assumptions!C20*Assumptions!$B$5</f>
        <v>25677.2</v>
      </c>
      <c r="D5" s="17" t="n">
        <f aca="false">Assumptions!D20*Assumptions!$B$5</f>
        <v>66700</v>
      </c>
      <c r="E5" s="2" t="s">
        <v>69</v>
      </c>
    </row>
    <row r="6" customFormat="false" ht="15" hidden="false" customHeight="false" outlineLevel="0" collapsed="false">
      <c r="A6" s="3" t="s">
        <v>70</v>
      </c>
      <c r="B6" s="17" t="n">
        <f aca="false">Assumptions!B11</f>
        <v>4500</v>
      </c>
      <c r="C6" s="17" t="n">
        <f aca="false">Assumptions!C11</f>
        <v>12000</v>
      </c>
      <c r="D6" s="17" t="n">
        <f aca="false">Assumptions!D11</f>
        <v>25000</v>
      </c>
      <c r="E6" s="2"/>
    </row>
    <row r="7" customFormat="false" ht="15" hidden="false" customHeight="false" outlineLevel="0" collapsed="false">
      <c r="A7" s="4" t="s">
        <v>71</v>
      </c>
      <c r="B7" s="12" t="n">
        <f aca="false">B5+B6</f>
        <v>10823.85</v>
      </c>
      <c r="C7" s="12" t="n">
        <f aca="false">C5+C6</f>
        <v>37677.2</v>
      </c>
      <c r="D7" s="12" t="n">
        <f aca="false">D5+D6</f>
        <v>91700</v>
      </c>
      <c r="E7" s="2"/>
    </row>
    <row r="8" customFormat="false" ht="15" hidden="false" customHeight="false" outlineLevel="0" collapsed="false">
      <c r="A8" s="3" t="s">
        <v>72</v>
      </c>
      <c r="B8" s="17" t="n">
        <f aca="false">Assumptions!B14*Assumptions!$B$5</f>
        <v>5499</v>
      </c>
      <c r="C8" s="17" t="n">
        <f aca="false">Assumptions!C14*Assumptions!$B$5</f>
        <v>22328</v>
      </c>
      <c r="D8" s="17" t="n">
        <f aca="false">Assumptions!D14*Assumptions!$B$5</f>
        <v>58000</v>
      </c>
      <c r="E8" s="2"/>
    </row>
    <row r="9" customFormat="false" ht="15" hidden="false" customHeight="false" outlineLevel="0" collapsed="false">
      <c r="A9" s="3" t="s">
        <v>73</v>
      </c>
      <c r="B9" s="17" t="n">
        <f aca="false">Assumptions!B15*Assumptions!$B$23+Assumptions!B16</f>
        <v>2200</v>
      </c>
      <c r="C9" s="17" t="n">
        <f aca="false">Assumptions!C15*Assumptions!$B$23+Assumptions!C16</f>
        <v>4500</v>
      </c>
      <c r="D9" s="17" t="n">
        <f aca="false">Assumptions!D15*Assumptions!$B$23+Assumptions!D16</f>
        <v>11500</v>
      </c>
      <c r="E9" s="2" t="s">
        <v>74</v>
      </c>
    </row>
    <row r="10" customFormat="false" ht="15" hidden="false" customHeight="false" outlineLevel="0" collapsed="false">
      <c r="A10" s="4" t="s">
        <v>75</v>
      </c>
      <c r="B10" s="12" t="n">
        <f aca="false">B7-B8-B9</f>
        <v>3124.85</v>
      </c>
      <c r="C10" s="12" t="n">
        <f aca="false">C7-C8-C9</f>
        <v>10849.2</v>
      </c>
      <c r="D10" s="12" t="n">
        <f aca="false">D7-D8-D9</f>
        <v>22200</v>
      </c>
      <c r="E10" s="2"/>
    </row>
    <row r="11" customFormat="false" ht="15" hidden="false" customHeight="false" outlineLevel="0" collapsed="false">
      <c r="A11" s="3" t="s">
        <v>76</v>
      </c>
      <c r="B11" s="13" t="n">
        <f aca="false">IF(B7=0,0,B10/B7)</f>
        <v>0.288700416210498</v>
      </c>
      <c r="C11" s="13" t="n">
        <f aca="false">IF(C7=0,0,C10/C7)</f>
        <v>0.287951333963246</v>
      </c>
      <c r="D11" s="13" t="n">
        <f aca="false">IF(D7=0,0,D10/D7)</f>
        <v>0.242093784078517</v>
      </c>
      <c r="E11" s="2"/>
    </row>
    <row r="12" customFormat="false" ht="15" hidden="false" customHeight="false" outlineLevel="0" collapsed="false">
      <c r="A12" s="10" t="s">
        <v>77</v>
      </c>
    </row>
    <row r="13" customFormat="false" ht="15" hidden="false" customHeight="false" outlineLevel="0" collapsed="false">
      <c r="A13" s="3" t="s">
        <v>78</v>
      </c>
      <c r="B13" s="17" t="n">
        <f aca="false">Assumptions!B12</f>
        <v>1500</v>
      </c>
      <c r="C13" s="17" t="n">
        <f aca="false">Assumptions!C12</f>
        <v>4000</v>
      </c>
      <c r="D13" s="17" t="n">
        <f aca="false">Assumptions!D12</f>
        <v>8500</v>
      </c>
      <c r="E13" s="2"/>
    </row>
    <row r="14" customFormat="false" ht="15" hidden="false" customHeight="false" outlineLevel="0" collapsed="false">
      <c r="A14" s="3" t="s">
        <v>79</v>
      </c>
      <c r="B14" s="17" t="n">
        <f aca="false">Assumptions!B17*Assumptions!$B$23+Assumptions!B18</f>
        <v>275</v>
      </c>
      <c r="C14" s="17" t="n">
        <f aca="false">Assumptions!C17*Assumptions!$B$23+Assumptions!C18</f>
        <v>550</v>
      </c>
      <c r="D14" s="17" t="n">
        <f aca="false">Assumptions!D17*Assumptions!$B$23+Assumptions!D18</f>
        <v>1330</v>
      </c>
      <c r="E14" s="2" t="s">
        <v>80</v>
      </c>
    </row>
    <row r="15" customFormat="false" ht="15" hidden="false" customHeight="false" outlineLevel="0" collapsed="false">
      <c r="A15" s="4" t="s">
        <v>81</v>
      </c>
      <c r="B15" s="12" t="n">
        <f aca="false">B13-B14</f>
        <v>1225</v>
      </c>
      <c r="C15" s="12" t="n">
        <f aca="false">C13-C14</f>
        <v>3450</v>
      </c>
      <c r="D15" s="12" t="n">
        <f aca="false">D13-D14</f>
        <v>7170</v>
      </c>
      <c r="E15" s="2"/>
    </row>
    <row r="16" customFormat="false" ht="15" hidden="false" customHeight="false" outlineLevel="0" collapsed="false">
      <c r="A16" s="3" t="s">
        <v>82</v>
      </c>
      <c r="B16" s="13" t="n">
        <f aca="false">IF(B13=0,0,B15/B13)</f>
        <v>0.816666666666667</v>
      </c>
      <c r="C16" s="13" t="n">
        <f aca="false">IF(C13=0,0,C15/C13)</f>
        <v>0.8625</v>
      </c>
      <c r="D16" s="13" t="n">
        <f aca="false">IF(D13=0,0,D15/D13)</f>
        <v>0.843529411764706</v>
      </c>
      <c r="E16" s="2"/>
    </row>
    <row r="17" customFormat="false" ht="15" hidden="false" customHeight="false" outlineLevel="0" collapsed="false">
      <c r="A17" s="3" t="s">
        <v>83</v>
      </c>
      <c r="B17" s="17" t="n">
        <f aca="false">IF(Assumptions!B10=0,0,B13/Assumptions!B10)</f>
        <v>125</v>
      </c>
      <c r="C17" s="17" t="n">
        <f aca="false">IF(Assumptions!C10=0,0,C13/Assumptions!C10)</f>
        <v>100</v>
      </c>
      <c r="D17" s="17" t="n">
        <f aca="false">IF(Assumptions!D10=0,0,D13/Assumptions!D10)</f>
        <v>56.6666666666667</v>
      </c>
      <c r="E17" s="2" t="s">
        <v>84</v>
      </c>
    </row>
    <row r="18" customFormat="false" ht="15" hidden="false" customHeight="false" outlineLevel="0" collapsed="false">
      <c r="A18" s="10" t="s">
        <v>85</v>
      </c>
    </row>
    <row r="19" customFormat="false" ht="15" hidden="false" customHeight="false" outlineLevel="0" collapsed="false">
      <c r="A19" s="4" t="s">
        <v>86</v>
      </c>
      <c r="B19" s="12" t="n">
        <f aca="false">B7+12*B13</f>
        <v>28823.85</v>
      </c>
      <c r="C19" s="12" t="n">
        <f aca="false">C7+12*C13</f>
        <v>85677.2</v>
      </c>
      <c r="D19" s="12" t="n">
        <f aca="false">D7+12*D13</f>
        <v>193700</v>
      </c>
      <c r="E19" s="2" t="s">
        <v>87</v>
      </c>
    </row>
    <row r="20" customFormat="false" ht="15" hidden="false" customHeight="false" outlineLevel="0" collapsed="false">
      <c r="A20" s="4" t="s">
        <v>88</v>
      </c>
      <c r="B20" s="12" t="n">
        <f aca="false">B10+12*B15</f>
        <v>17824.85</v>
      </c>
      <c r="C20" s="12" t="n">
        <f aca="false">C10+12*C15</f>
        <v>52249.2</v>
      </c>
      <c r="D20" s="12" t="n">
        <f aca="false">D10+12*D15</f>
        <v>108240</v>
      </c>
      <c r="E20" s="2"/>
    </row>
    <row r="21" customFormat="false" ht="15" hidden="false" customHeight="false" outlineLevel="0" collapsed="false">
      <c r="A21" s="3" t="s">
        <v>89</v>
      </c>
      <c r="B21" s="13" t="n">
        <f aca="false">IF(B19=0,0,B20/B19)</f>
        <v>0.618406285072952</v>
      </c>
      <c r="C21" s="13" t="n">
        <f aca="false">IF(C19=0,0,C20/C19)</f>
        <v>0.609837856512585</v>
      </c>
      <c r="D21" s="13" t="n">
        <f aca="false">IF(D19=0,0,D20/D19)</f>
        <v>0.55880227155395</v>
      </c>
      <c r="E21" s="2" t="s">
        <v>90</v>
      </c>
    </row>
    <row r="22" customFormat="false" ht="15" hidden="false" customHeight="false" outlineLevel="0" collapsed="false">
      <c r="A22" s="3" t="s">
        <v>91</v>
      </c>
      <c r="B22" s="17" t="n">
        <f aca="false">12*B13</f>
        <v>18000</v>
      </c>
      <c r="C22" s="17" t="n">
        <f aca="false">12*C13</f>
        <v>48000</v>
      </c>
      <c r="D22" s="17" t="n">
        <f aca="false">12*D13</f>
        <v>102000</v>
      </c>
      <c r="E22" s="2"/>
    </row>
    <row r="23" customFormat="false" ht="15" hidden="false" customHeight="false" outlineLevel="0" collapsed="false">
      <c r="A23" s="3" t="s">
        <v>92</v>
      </c>
      <c r="B23" s="17" t="n">
        <f aca="false">12*B15</f>
        <v>14700</v>
      </c>
      <c r="C23" s="17" t="n">
        <f aca="false">12*C15</f>
        <v>41400</v>
      </c>
      <c r="D23" s="17" t="n">
        <f aca="false">12*D15</f>
        <v>86040</v>
      </c>
      <c r="E23" s="2"/>
    </row>
    <row r="24" customFormat="false" ht="15" hidden="false" customHeight="false" outlineLevel="0" collapsed="false">
      <c r="A24" s="10" t="s">
        <v>93</v>
      </c>
    </row>
    <row r="25" customFormat="false" ht="15" hidden="false" customHeight="false" outlineLevel="0" collapsed="false">
      <c r="A25" s="3" t="s">
        <v>94</v>
      </c>
      <c r="B25" s="18" t="n">
        <f aca="false">MIN(Assumptions!$B$30,IF(Assumptions!$B$24=0,Assumptions!$B$30,1/Assumptions!$B$24))</f>
        <v>5</v>
      </c>
      <c r="C25" s="18" t="n">
        <f aca="false">MIN(Assumptions!$B$30,IF(Assumptions!$B$24=0,Assumptions!$B$30,1/Assumptions!$B$24))</f>
        <v>5</v>
      </c>
      <c r="D25" s="18" t="n">
        <f aca="false">MIN(Assumptions!$B$30,IF(Assumptions!$B$24=0,Assumptions!$B$30,1/Assumptions!$B$24))</f>
        <v>5</v>
      </c>
      <c r="E25" s="2" t="s">
        <v>95</v>
      </c>
    </row>
    <row r="26" customFormat="false" ht="15" hidden="false" customHeight="false" outlineLevel="0" collapsed="false">
      <c r="A26" s="4" t="s">
        <v>96</v>
      </c>
      <c r="B26" s="12" t="n">
        <f aca="false">B10+B23*B25</f>
        <v>76624.85</v>
      </c>
      <c r="C26" s="12" t="n">
        <f aca="false">C10+C23*C25</f>
        <v>217849.2</v>
      </c>
      <c r="D26" s="12" t="n">
        <f aca="false">D10+D23*D25</f>
        <v>452400</v>
      </c>
      <c r="E26" s="2" t="s">
        <v>97</v>
      </c>
    </row>
    <row r="27" customFormat="false" ht="15" hidden="false" customHeight="false" outlineLevel="0" collapsed="false">
      <c r="A27" s="3" t="s">
        <v>98</v>
      </c>
      <c r="B27" s="17" t="n">
        <f aca="false">Assumptions!B19</f>
        <v>6000</v>
      </c>
      <c r="C27" s="17" t="n">
        <f aca="false">Assumptions!C19</f>
        <v>12000</v>
      </c>
      <c r="D27" s="17" t="n">
        <f aca="false">Assumptions!D19</f>
        <v>25000</v>
      </c>
      <c r="E27" s="2"/>
    </row>
    <row r="28" customFormat="false" ht="15" hidden="false" customHeight="false" outlineLevel="0" collapsed="false">
      <c r="A28" s="4" t="s">
        <v>99</v>
      </c>
      <c r="B28" s="19" t="n">
        <f aca="false">IF(B27=0,0,B26/B27)</f>
        <v>12.7708083333333</v>
      </c>
      <c r="C28" s="19" t="n">
        <f aca="false">IF(C27=0,0,C26/C27)</f>
        <v>18.1541</v>
      </c>
      <c r="D28" s="19" t="n">
        <f aca="false">IF(D27=0,0,D26/D27)</f>
        <v>18.096</v>
      </c>
      <c r="E28" s="2" t="s">
        <v>100</v>
      </c>
    </row>
    <row r="29" customFormat="false" ht="15" hidden="false" customHeight="false" outlineLevel="0" collapsed="false">
      <c r="A29" s="3" t="s">
        <v>101</v>
      </c>
      <c r="B29" s="18" t="n">
        <f aca="false">IF(B15&lt;=0,0,MAX(0,B27-B10)/B15)</f>
        <v>2.3470612244898</v>
      </c>
      <c r="C29" s="18" t="n">
        <f aca="false">IF(C15&lt;=0,0,MAX(0,C27-C10)/C15)</f>
        <v>0.333565217391305</v>
      </c>
      <c r="D29" s="18" t="n">
        <f aca="false">IF(D15&lt;=0,0,MAX(0,D27-D10)/D15)</f>
        <v>0.390516039051604</v>
      </c>
      <c r="E29" s="2" t="s">
        <v>102</v>
      </c>
    </row>
    <row r="30" customFormat="false" ht="15" hidden="false" customHeight="false" outlineLevel="0" collapsed="false">
      <c r="A30" s="10" t="s">
        <v>103</v>
      </c>
    </row>
    <row r="31" customFormat="false" ht="15" hidden="false" customHeight="false" outlineLevel="0" collapsed="false">
      <c r="A31" s="3" t="s">
        <v>104</v>
      </c>
      <c r="B31" s="20" t="n">
        <f aca="false">Assumptions!B15+12*Assumptions!B17</f>
        <v>50</v>
      </c>
      <c r="C31" s="20" t="n">
        <f aca="false">Assumptions!C15+12*Assumptions!C17</f>
        <v>100</v>
      </c>
      <c r="D31" s="20" t="n">
        <f aca="false">Assumptions!D15+12*Assumptions!D17</f>
        <v>244</v>
      </c>
      <c r="E31" s="2" t="s">
        <v>105</v>
      </c>
    </row>
    <row r="32" customFormat="false" ht="15" hidden="false" customHeight="false" outlineLevel="0" collapsed="false">
      <c r="A32" s="3" t="s">
        <v>106</v>
      </c>
      <c r="B32" s="20" t="n">
        <f aca="false">IF(Assumptions!B17=0,0,Assumptions!$B$29/(12*Assumptions!B17))</f>
        <v>46.6666666666667</v>
      </c>
      <c r="C32" s="20" t="n">
        <f aca="false">IF(Assumptions!C17=0,0,Assumptions!$B$29/(12*Assumptions!C17))</f>
        <v>23.3333333333333</v>
      </c>
      <c r="D32" s="20" t="n">
        <f aca="false">IF(Assumptions!D17=0,0,Assumptions!$B$29/(12*Assumptions!D17))</f>
        <v>9.72222222222222</v>
      </c>
      <c r="E32" s="2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4" min="2" style="0" width="15"/>
    <col collapsed="false" customWidth="true" hidden="false" outlineLevel="0" max="5" min="5" style="0" width="95"/>
  </cols>
  <sheetData>
    <row r="1" customFormat="false" ht="17.35" hidden="false" customHeight="false" outlineLevel="0" collapsed="false">
      <c r="A1" s="1" t="s">
        <v>108</v>
      </c>
    </row>
    <row r="2" customFormat="false" ht="15" hidden="false" customHeight="false" outlineLevel="0" collapsed="false">
      <c r="A2" s="2" t="s">
        <v>109</v>
      </c>
    </row>
    <row r="4" customFormat="false" ht="15" hidden="false" customHeight="false" outlineLevel="0" collapsed="false">
      <c r="A4" s="4" t="s">
        <v>110</v>
      </c>
      <c r="B4" s="21" t="n">
        <v>2</v>
      </c>
    </row>
    <row r="5" customFormat="false" ht="15" hidden="false" customHeight="false" outlineLevel="0" collapsed="false">
      <c r="A5" s="4" t="s">
        <v>111</v>
      </c>
      <c r="B5" s="21" t="n">
        <v>1</v>
      </c>
    </row>
    <row r="6" customFormat="false" ht="15" hidden="false" customHeight="false" outlineLevel="0" collapsed="false">
      <c r="A6" s="4" t="s">
        <v>112</v>
      </c>
      <c r="B6" s="22" t="n">
        <v>0</v>
      </c>
    </row>
    <row r="8" customFormat="false" ht="15" hidden="false" customHeight="false" outlineLevel="0" collapsed="false">
      <c r="A8" s="8" t="s">
        <v>113</v>
      </c>
      <c r="B8" s="8" t="s">
        <v>64</v>
      </c>
      <c r="C8" s="8" t="s">
        <v>65</v>
      </c>
      <c r="D8" s="8" t="s">
        <v>66</v>
      </c>
      <c r="E8" s="8" t="s">
        <v>114</v>
      </c>
    </row>
    <row r="9" customFormat="false" ht="15" hidden="false" customHeight="false" outlineLevel="0" collapsed="false">
      <c r="A9" s="3" t="s">
        <v>115</v>
      </c>
      <c r="B9" s="5" t="s">
        <v>116</v>
      </c>
      <c r="C9" s="5" t="s">
        <v>117</v>
      </c>
      <c r="D9" s="5" t="s">
        <v>118</v>
      </c>
      <c r="E9" s="2" t="s">
        <v>119</v>
      </c>
    </row>
    <row r="10" customFormat="false" ht="15" hidden="false" customHeight="false" outlineLevel="0" collapsed="false">
      <c r="A10" s="3" t="s">
        <v>120</v>
      </c>
      <c r="B10" s="23" t="n">
        <v>12</v>
      </c>
      <c r="C10" s="23" t="n">
        <v>40</v>
      </c>
      <c r="D10" s="23" t="n">
        <v>150</v>
      </c>
      <c r="E10" s="2" t="s">
        <v>121</v>
      </c>
    </row>
    <row r="11" customFormat="false" ht="15" hidden="false" customHeight="false" outlineLevel="0" collapsed="false">
      <c r="A11" s="3" t="s">
        <v>122</v>
      </c>
      <c r="B11" s="22" t="n">
        <v>4500</v>
      </c>
      <c r="C11" s="22" t="n">
        <v>12000</v>
      </c>
      <c r="D11" s="22" t="n">
        <v>25000</v>
      </c>
      <c r="E11" s="2" t="s">
        <v>123</v>
      </c>
    </row>
    <row r="12" customFormat="false" ht="15" hidden="false" customHeight="false" outlineLevel="0" collapsed="false">
      <c r="A12" s="3" t="s">
        <v>78</v>
      </c>
      <c r="B12" s="22" t="n">
        <v>1500</v>
      </c>
      <c r="C12" s="22" t="n">
        <v>4000</v>
      </c>
      <c r="D12" s="22" t="n">
        <v>8500</v>
      </c>
      <c r="E12" s="2" t="s">
        <v>124</v>
      </c>
    </row>
    <row r="13" customFormat="false" ht="15" hidden="false" customHeight="false" outlineLevel="0" collapsed="false">
      <c r="A13" s="3" t="s">
        <v>125</v>
      </c>
      <c r="B13" s="24" t="n">
        <v>0.15</v>
      </c>
      <c r="C13" s="24" t="n">
        <v>0.15</v>
      </c>
      <c r="D13" s="24" t="n">
        <v>0.15</v>
      </c>
      <c r="E13" s="2" t="s">
        <v>126</v>
      </c>
    </row>
    <row r="14" customFormat="false" ht="15" hidden="false" customHeight="false" outlineLevel="0" collapsed="false">
      <c r="A14" s="3" t="s">
        <v>127</v>
      </c>
      <c r="B14" s="11" t="n">
        <f aca="false">'Hardware BOM'!$D$10</f>
        <v>5499</v>
      </c>
      <c r="C14" s="11" t="n">
        <f aca="false">'Hardware BOM'!$D$20</f>
        <v>22328</v>
      </c>
      <c r="D14" s="11" t="n">
        <f aca="false">'Hardware BOM'!$D$30</f>
        <v>58000</v>
      </c>
      <c r="E14" s="2" t="s">
        <v>128</v>
      </c>
    </row>
    <row r="15" customFormat="false" ht="15" hidden="false" customHeight="false" outlineLevel="0" collapsed="false">
      <c r="A15" s="3" t="s">
        <v>129</v>
      </c>
      <c r="B15" s="23" t="n">
        <v>20</v>
      </c>
      <c r="C15" s="23" t="n">
        <v>40</v>
      </c>
      <c r="D15" s="23" t="n">
        <v>100</v>
      </c>
      <c r="E15" s="2" t="s">
        <v>130</v>
      </c>
    </row>
    <row r="16" customFormat="false" ht="15" hidden="false" customHeight="false" outlineLevel="0" collapsed="false">
      <c r="A16" s="3" t="s">
        <v>131</v>
      </c>
      <c r="B16" s="25" t="n">
        <v>400</v>
      </c>
      <c r="C16" s="25" t="n">
        <v>900</v>
      </c>
      <c r="D16" s="25" t="n">
        <v>2500</v>
      </c>
      <c r="E16" s="2" t="s">
        <v>132</v>
      </c>
    </row>
    <row r="17" customFormat="false" ht="15" hidden="false" customHeight="false" outlineLevel="0" collapsed="false">
      <c r="A17" s="3" t="s">
        <v>133</v>
      </c>
      <c r="B17" s="26" t="n">
        <v>2.5</v>
      </c>
      <c r="C17" s="26" t="n">
        <v>5</v>
      </c>
      <c r="D17" s="26" t="n">
        <v>12</v>
      </c>
      <c r="E17" s="2" t="s">
        <v>134</v>
      </c>
    </row>
    <row r="18" customFormat="false" ht="15" hidden="false" customHeight="false" outlineLevel="0" collapsed="false">
      <c r="A18" s="3" t="s">
        <v>135</v>
      </c>
      <c r="B18" s="25" t="n">
        <v>50</v>
      </c>
      <c r="C18" s="25" t="n">
        <v>100</v>
      </c>
      <c r="D18" s="25" t="n">
        <v>250</v>
      </c>
      <c r="E18" s="2" t="s">
        <v>136</v>
      </c>
    </row>
    <row r="19" customFormat="false" ht="15" hidden="false" customHeight="false" outlineLevel="0" collapsed="false">
      <c r="A19" s="3" t="s">
        <v>137</v>
      </c>
      <c r="B19" s="22" t="n">
        <v>6000</v>
      </c>
      <c r="C19" s="22" t="n">
        <v>12000</v>
      </c>
      <c r="D19" s="22" t="n">
        <v>25000</v>
      </c>
      <c r="E19" s="2" t="s">
        <v>138</v>
      </c>
    </row>
    <row r="20" customFormat="false" ht="15" hidden="false" customHeight="false" outlineLevel="0" collapsed="false">
      <c r="A20" s="3" t="s">
        <v>139</v>
      </c>
      <c r="B20" s="17" t="n">
        <f aca="false">B14*(1+B13)</f>
        <v>6323.85</v>
      </c>
      <c r="C20" s="17" t="n">
        <f aca="false">C14*(1+C13)</f>
        <v>25677.2</v>
      </c>
      <c r="D20" s="17" t="n">
        <f aca="false">D14*(1+D13)</f>
        <v>66700</v>
      </c>
      <c r="E20" s="2" t="s">
        <v>140</v>
      </c>
    </row>
    <row r="22" customFormat="false" ht="15" hidden="false" customHeight="false" outlineLevel="0" collapsed="false">
      <c r="A22" s="8" t="s">
        <v>141</v>
      </c>
      <c r="B22" s="8" t="s">
        <v>142</v>
      </c>
      <c r="C22" s="8"/>
      <c r="D22" s="8"/>
      <c r="E22" s="8" t="s">
        <v>114</v>
      </c>
    </row>
    <row r="23" customFormat="false" ht="15" hidden="false" customHeight="false" outlineLevel="0" collapsed="false">
      <c r="A23" s="3" t="s">
        <v>143</v>
      </c>
      <c r="B23" s="22" t="n">
        <v>90</v>
      </c>
      <c r="E23" s="2" t="s">
        <v>144</v>
      </c>
    </row>
    <row r="24" customFormat="false" ht="15" hidden="false" customHeight="false" outlineLevel="0" collapsed="false">
      <c r="A24" s="3" t="s">
        <v>145</v>
      </c>
      <c r="B24" s="24" t="n">
        <v>0.1</v>
      </c>
      <c r="E24" s="2" t="s">
        <v>146</v>
      </c>
    </row>
    <row r="25" customFormat="false" ht="15" hidden="false" customHeight="false" outlineLevel="0" collapsed="false">
      <c r="A25" s="3" t="s">
        <v>147</v>
      </c>
      <c r="B25" s="27" t="n">
        <f aca="false">1-(1-B24)^(1/12)</f>
        <v>0.00874161095469672</v>
      </c>
      <c r="E25" s="2" t="s">
        <v>148</v>
      </c>
    </row>
    <row r="26" customFormat="false" ht="15" hidden="false" customHeight="false" outlineLevel="0" collapsed="false">
      <c r="A26" s="3" t="s">
        <v>149</v>
      </c>
      <c r="B26" s="24" t="n">
        <v>0.3</v>
      </c>
      <c r="E26" s="2" t="s">
        <v>150</v>
      </c>
    </row>
    <row r="27" customFormat="false" ht="15" hidden="false" customHeight="false" outlineLevel="0" collapsed="false">
      <c r="A27" s="3" t="s">
        <v>151</v>
      </c>
      <c r="B27" s="28" t="n">
        <v>0.2</v>
      </c>
      <c r="E27" s="2" t="s">
        <v>152</v>
      </c>
    </row>
    <row r="28" customFormat="false" ht="15" hidden="false" customHeight="false" outlineLevel="0" collapsed="false">
      <c r="A28" s="3" t="s">
        <v>153</v>
      </c>
      <c r="B28" s="28" t="n">
        <v>0.1</v>
      </c>
      <c r="E28" s="2" t="s">
        <v>154</v>
      </c>
    </row>
    <row r="29" customFormat="false" ht="15" hidden="false" customHeight="false" outlineLevel="0" collapsed="false">
      <c r="A29" s="3" t="s">
        <v>155</v>
      </c>
      <c r="B29" s="23" t="n">
        <v>1400</v>
      </c>
      <c r="E29" s="2" t="s">
        <v>156</v>
      </c>
    </row>
    <row r="30" customFormat="false" ht="15" hidden="false" customHeight="false" outlineLevel="0" collapsed="false">
      <c r="A30" s="3" t="s">
        <v>157</v>
      </c>
      <c r="B30" s="23" t="n">
        <v>5</v>
      </c>
      <c r="E30" s="2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15" min="3" style="0" width="7"/>
    <col collapsed="false" customWidth="true" hidden="false" outlineLevel="0" max="16" min="16" style="0" width="70"/>
  </cols>
  <sheetData>
    <row r="1" customFormat="false" ht="17.35" hidden="false" customHeight="false" outlineLevel="0" collapsed="false">
      <c r="A1" s="1" t="s">
        <v>159</v>
      </c>
    </row>
    <row r="2" customFormat="false" ht="15" hidden="false" customHeight="false" outlineLevel="0" collapsed="false">
      <c r="A2" s="2" t="s">
        <v>160</v>
      </c>
    </row>
    <row r="4" customFormat="false" ht="15" hidden="false" customHeight="false" outlineLevel="0" collapsed="false">
      <c r="A4" s="8" t="s">
        <v>161</v>
      </c>
      <c r="B4" s="8" t="s">
        <v>162</v>
      </c>
      <c r="C4" s="8" t="s">
        <v>163</v>
      </c>
      <c r="D4" s="8" t="s">
        <v>164</v>
      </c>
      <c r="E4" s="8" t="s">
        <v>165</v>
      </c>
      <c r="F4" s="8" t="s">
        <v>166</v>
      </c>
      <c r="G4" s="8" t="s">
        <v>167</v>
      </c>
      <c r="H4" s="8" t="s">
        <v>168</v>
      </c>
      <c r="I4" s="8" t="s">
        <v>169</v>
      </c>
      <c r="J4" s="8" t="s">
        <v>170</v>
      </c>
      <c r="K4" s="8" t="s">
        <v>171</v>
      </c>
      <c r="L4" s="8" t="s">
        <v>172</v>
      </c>
      <c r="M4" s="8" t="s">
        <v>173</v>
      </c>
      <c r="N4" s="8" t="s">
        <v>174</v>
      </c>
      <c r="O4" s="8" t="s">
        <v>175</v>
      </c>
    </row>
    <row r="5" customFormat="false" ht="15" hidden="false" customHeight="true" outlineLevel="0" collapsed="false">
      <c r="A5" s="4" t="s">
        <v>176</v>
      </c>
      <c r="B5" s="3" t="s">
        <v>64</v>
      </c>
      <c r="C5" s="23" t="n">
        <v>0</v>
      </c>
      <c r="D5" s="23" t="n">
        <v>0</v>
      </c>
      <c r="E5" s="23" t="n">
        <v>1</v>
      </c>
      <c r="F5" s="23" t="n">
        <v>1</v>
      </c>
      <c r="G5" s="23" t="n">
        <v>1</v>
      </c>
      <c r="H5" s="23" t="n">
        <v>1</v>
      </c>
      <c r="I5" s="23" t="n">
        <v>1</v>
      </c>
      <c r="J5" s="23" t="n">
        <v>2</v>
      </c>
      <c r="K5" s="23" t="n">
        <v>2</v>
      </c>
      <c r="L5" s="23" t="n">
        <v>2</v>
      </c>
      <c r="M5" s="23" t="n">
        <v>2</v>
      </c>
      <c r="N5" s="23" t="n">
        <v>2</v>
      </c>
      <c r="O5" s="15" t="n">
        <f aca="false">SUM(C5:N5)</f>
        <v>15</v>
      </c>
      <c r="P5" s="29" t="s">
        <v>177</v>
      </c>
    </row>
    <row r="6" customFormat="false" ht="15" hidden="false" customHeight="false" outlineLevel="0" collapsed="false">
      <c r="A6" s="3" t="s">
        <v>176</v>
      </c>
      <c r="B6" s="3" t="s">
        <v>65</v>
      </c>
      <c r="C6" s="23" t="n">
        <v>0</v>
      </c>
      <c r="D6" s="23" t="n">
        <v>0</v>
      </c>
      <c r="E6" s="23" t="n">
        <v>0</v>
      </c>
      <c r="F6" s="23" t="n">
        <v>1</v>
      </c>
      <c r="G6" s="23" t="n">
        <v>1</v>
      </c>
      <c r="H6" s="23" t="n">
        <v>1</v>
      </c>
      <c r="I6" s="23" t="n">
        <v>1</v>
      </c>
      <c r="J6" s="23" t="n">
        <v>1</v>
      </c>
      <c r="K6" s="23" t="n">
        <v>1</v>
      </c>
      <c r="L6" s="23" t="n">
        <v>2</v>
      </c>
      <c r="M6" s="23" t="n">
        <v>2</v>
      </c>
      <c r="N6" s="23" t="n">
        <v>2</v>
      </c>
      <c r="O6" s="15" t="n">
        <f aca="false">SUM(C6:N6)</f>
        <v>12</v>
      </c>
      <c r="P6" s="29"/>
    </row>
    <row r="7" customFormat="false" ht="15" hidden="false" customHeight="false" outlineLevel="0" collapsed="false">
      <c r="A7" s="3" t="s">
        <v>176</v>
      </c>
      <c r="B7" s="3" t="s">
        <v>66</v>
      </c>
      <c r="C7" s="23" t="n">
        <v>0</v>
      </c>
      <c r="D7" s="23" t="n">
        <v>0</v>
      </c>
      <c r="E7" s="23" t="n">
        <v>0</v>
      </c>
      <c r="F7" s="23" t="n">
        <v>0</v>
      </c>
      <c r="G7" s="23" t="n">
        <v>0</v>
      </c>
      <c r="H7" s="23" t="n">
        <v>0</v>
      </c>
      <c r="I7" s="23" t="n">
        <v>0</v>
      </c>
      <c r="J7" s="23" t="n">
        <v>0</v>
      </c>
      <c r="K7" s="23" t="n">
        <v>0</v>
      </c>
      <c r="L7" s="23" t="n">
        <v>1</v>
      </c>
      <c r="M7" s="23" t="n">
        <v>0</v>
      </c>
      <c r="N7" s="23" t="n">
        <v>1</v>
      </c>
      <c r="O7" s="15" t="n">
        <f aca="false">SUM(C7:N7)</f>
        <v>2</v>
      </c>
      <c r="P7" s="29"/>
    </row>
    <row r="8" customFormat="false" ht="15" hidden="false" customHeight="false" outlineLevel="0" collapsed="false">
      <c r="A8" s="4" t="s">
        <v>178</v>
      </c>
      <c r="B8" s="3" t="s">
        <v>64</v>
      </c>
      <c r="C8" s="23" t="n">
        <v>0</v>
      </c>
      <c r="D8" s="23" t="n">
        <v>1</v>
      </c>
      <c r="E8" s="23" t="n">
        <v>1</v>
      </c>
      <c r="F8" s="23" t="n">
        <v>1</v>
      </c>
      <c r="G8" s="23" t="n">
        <v>2</v>
      </c>
      <c r="H8" s="23" t="n">
        <v>2</v>
      </c>
      <c r="I8" s="23" t="n">
        <v>2</v>
      </c>
      <c r="J8" s="23" t="n">
        <v>2</v>
      </c>
      <c r="K8" s="23" t="n">
        <v>3</v>
      </c>
      <c r="L8" s="23" t="n">
        <v>3</v>
      </c>
      <c r="M8" s="23" t="n">
        <v>3</v>
      </c>
      <c r="N8" s="23" t="n">
        <v>4</v>
      </c>
      <c r="O8" s="15" t="n">
        <f aca="false">SUM(C8:N8)</f>
        <v>24</v>
      </c>
      <c r="P8" s="29"/>
    </row>
    <row r="9" customFormat="false" ht="15" hidden="false" customHeight="false" outlineLevel="0" collapsed="false">
      <c r="A9" s="3" t="s">
        <v>178</v>
      </c>
      <c r="B9" s="3" t="s">
        <v>65</v>
      </c>
      <c r="C9" s="23" t="n">
        <v>0</v>
      </c>
      <c r="D9" s="23" t="n">
        <v>0</v>
      </c>
      <c r="E9" s="23" t="n">
        <v>1</v>
      </c>
      <c r="F9" s="23" t="n">
        <v>1</v>
      </c>
      <c r="G9" s="23" t="n">
        <v>1</v>
      </c>
      <c r="H9" s="23" t="n">
        <v>2</v>
      </c>
      <c r="I9" s="23" t="n">
        <v>2</v>
      </c>
      <c r="J9" s="23" t="n">
        <v>2</v>
      </c>
      <c r="K9" s="23" t="n">
        <v>3</v>
      </c>
      <c r="L9" s="23" t="n">
        <v>3</v>
      </c>
      <c r="M9" s="23" t="n">
        <v>4</v>
      </c>
      <c r="N9" s="23" t="n">
        <v>4</v>
      </c>
      <c r="O9" s="15" t="n">
        <f aca="false">SUM(C9:N9)</f>
        <v>23</v>
      </c>
      <c r="P9" s="29"/>
    </row>
    <row r="10" customFormat="false" ht="15" hidden="false" customHeight="false" outlineLevel="0" collapsed="false">
      <c r="A10" s="3" t="s">
        <v>178</v>
      </c>
      <c r="B10" s="3" t="s">
        <v>66</v>
      </c>
      <c r="C10" s="23" t="n">
        <v>0</v>
      </c>
      <c r="D10" s="23" t="n">
        <v>0</v>
      </c>
      <c r="E10" s="23" t="n">
        <v>0</v>
      </c>
      <c r="F10" s="23" t="n">
        <v>0</v>
      </c>
      <c r="G10" s="23" t="n">
        <v>0</v>
      </c>
      <c r="H10" s="23" t="n">
        <v>0</v>
      </c>
      <c r="I10" s="23" t="n">
        <v>1</v>
      </c>
      <c r="J10" s="23" t="n">
        <v>0</v>
      </c>
      <c r="K10" s="23" t="n">
        <v>1</v>
      </c>
      <c r="L10" s="23" t="n">
        <v>0</v>
      </c>
      <c r="M10" s="23" t="n">
        <v>1</v>
      </c>
      <c r="N10" s="23" t="n">
        <v>1</v>
      </c>
      <c r="O10" s="15" t="n">
        <f aca="false">SUM(C10:N10)</f>
        <v>4</v>
      </c>
      <c r="P10" s="29"/>
    </row>
    <row r="11" customFormat="false" ht="15" hidden="false" customHeight="false" outlineLevel="0" collapsed="false">
      <c r="A11" s="4" t="s">
        <v>179</v>
      </c>
      <c r="B11" s="3" t="s">
        <v>64</v>
      </c>
      <c r="C11" s="23" t="n">
        <v>0</v>
      </c>
      <c r="D11" s="23" t="n">
        <v>1</v>
      </c>
      <c r="E11" s="23" t="n">
        <v>2</v>
      </c>
      <c r="F11" s="23" t="n">
        <v>2</v>
      </c>
      <c r="G11" s="23" t="n">
        <v>3</v>
      </c>
      <c r="H11" s="23" t="n">
        <v>3</v>
      </c>
      <c r="I11" s="23" t="n">
        <v>3</v>
      </c>
      <c r="J11" s="23" t="n">
        <v>4</v>
      </c>
      <c r="K11" s="23" t="n">
        <v>4</v>
      </c>
      <c r="L11" s="23" t="n">
        <v>5</v>
      </c>
      <c r="M11" s="23" t="n">
        <v>5</v>
      </c>
      <c r="N11" s="23" t="n">
        <v>5</v>
      </c>
      <c r="O11" s="15" t="n">
        <f aca="false">SUM(C11:N11)</f>
        <v>37</v>
      </c>
      <c r="P11" s="29"/>
    </row>
    <row r="12" customFormat="false" ht="15" hidden="false" customHeight="false" outlineLevel="0" collapsed="false">
      <c r="A12" s="3" t="s">
        <v>179</v>
      </c>
      <c r="B12" s="3" t="s">
        <v>65</v>
      </c>
      <c r="C12" s="23" t="n">
        <v>0</v>
      </c>
      <c r="D12" s="23" t="n">
        <v>1</v>
      </c>
      <c r="E12" s="23" t="n">
        <v>1</v>
      </c>
      <c r="F12" s="23" t="n">
        <v>2</v>
      </c>
      <c r="G12" s="23" t="n">
        <v>2</v>
      </c>
      <c r="H12" s="23" t="n">
        <v>3</v>
      </c>
      <c r="I12" s="23" t="n">
        <v>3</v>
      </c>
      <c r="J12" s="23" t="n">
        <v>3</v>
      </c>
      <c r="K12" s="23" t="n">
        <v>4</v>
      </c>
      <c r="L12" s="23" t="n">
        <v>4</v>
      </c>
      <c r="M12" s="23" t="n">
        <v>5</v>
      </c>
      <c r="N12" s="23" t="n">
        <v>5</v>
      </c>
      <c r="O12" s="15" t="n">
        <f aca="false">SUM(C12:N12)</f>
        <v>33</v>
      </c>
      <c r="P12" s="29"/>
    </row>
    <row r="13" customFormat="false" ht="15" hidden="false" customHeight="false" outlineLevel="0" collapsed="false">
      <c r="A13" s="3" t="s">
        <v>179</v>
      </c>
      <c r="B13" s="3" t="s">
        <v>66</v>
      </c>
      <c r="C13" s="23" t="n">
        <v>0</v>
      </c>
      <c r="D13" s="23" t="n">
        <v>0</v>
      </c>
      <c r="E13" s="23" t="n">
        <v>0</v>
      </c>
      <c r="F13" s="23" t="n">
        <v>1</v>
      </c>
      <c r="G13" s="23" t="n">
        <v>0</v>
      </c>
      <c r="H13" s="23" t="n">
        <v>1</v>
      </c>
      <c r="I13" s="23" t="n">
        <v>1</v>
      </c>
      <c r="J13" s="23" t="n">
        <v>1</v>
      </c>
      <c r="K13" s="23" t="n">
        <v>1</v>
      </c>
      <c r="L13" s="23" t="n">
        <v>1</v>
      </c>
      <c r="M13" s="23" t="n">
        <v>2</v>
      </c>
      <c r="N13" s="23" t="n">
        <v>2</v>
      </c>
      <c r="O13" s="15" t="n">
        <f aca="false">SUM(C13:N13)</f>
        <v>10</v>
      </c>
      <c r="P13" s="29"/>
    </row>
    <row r="15" customFormat="false" ht="15" hidden="false" customHeight="false" outlineLevel="0" collapsed="false">
      <c r="A15" s="10" t="s">
        <v>180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</row>
    <row r="16" customFormat="false" ht="15" hidden="false" customHeight="false" outlineLevel="0" collapsed="false">
      <c r="A16" s="3" t="s">
        <v>181</v>
      </c>
      <c r="B16" s="3" t="s">
        <v>64</v>
      </c>
      <c r="C16" s="14" t="n">
        <f aca="false">CHOOSE(Assumptions!$B$4,C5,C8,C11)</f>
        <v>0</v>
      </c>
      <c r="D16" s="14" t="n">
        <f aca="false">CHOOSE(Assumptions!$B$4,D5,D8,D11)</f>
        <v>1</v>
      </c>
      <c r="E16" s="14" t="n">
        <f aca="false">CHOOSE(Assumptions!$B$4,E5,E8,E11)</f>
        <v>1</v>
      </c>
      <c r="F16" s="14" t="n">
        <f aca="false">CHOOSE(Assumptions!$B$4,F5,F8,F11)</f>
        <v>1</v>
      </c>
      <c r="G16" s="14" t="n">
        <f aca="false">CHOOSE(Assumptions!$B$4,G5,G8,G11)</f>
        <v>2</v>
      </c>
      <c r="H16" s="14" t="n">
        <f aca="false">CHOOSE(Assumptions!$B$4,H5,H8,H11)</f>
        <v>2</v>
      </c>
      <c r="I16" s="14" t="n">
        <f aca="false">CHOOSE(Assumptions!$B$4,I5,I8,I11)</f>
        <v>2</v>
      </c>
      <c r="J16" s="14" t="n">
        <f aca="false">CHOOSE(Assumptions!$B$4,J5,J8,J11)</f>
        <v>2</v>
      </c>
      <c r="K16" s="14" t="n">
        <f aca="false">CHOOSE(Assumptions!$B$4,K5,K8,K11)</f>
        <v>3</v>
      </c>
      <c r="L16" s="14" t="n">
        <f aca="false">CHOOSE(Assumptions!$B$4,L5,L8,L11)</f>
        <v>3</v>
      </c>
      <c r="M16" s="14" t="n">
        <f aca="false">CHOOSE(Assumptions!$B$4,M5,M8,M11)</f>
        <v>3</v>
      </c>
      <c r="N16" s="14" t="n">
        <f aca="false">CHOOSE(Assumptions!$B$4,N5,N8,N11)</f>
        <v>4</v>
      </c>
      <c r="O16" s="15" t="n">
        <f aca="false">SUM(C16:N16)</f>
        <v>24</v>
      </c>
    </row>
    <row r="17" customFormat="false" ht="15" hidden="false" customHeight="false" outlineLevel="0" collapsed="false">
      <c r="A17" s="3" t="s">
        <v>181</v>
      </c>
      <c r="B17" s="3" t="s">
        <v>65</v>
      </c>
      <c r="C17" s="14" t="n">
        <f aca="false">CHOOSE(Assumptions!$B$4,C6,C9,C12)</f>
        <v>0</v>
      </c>
      <c r="D17" s="14" t="n">
        <f aca="false">CHOOSE(Assumptions!$B$4,D6,D9,D12)</f>
        <v>0</v>
      </c>
      <c r="E17" s="14" t="n">
        <f aca="false">CHOOSE(Assumptions!$B$4,E6,E9,E12)</f>
        <v>1</v>
      </c>
      <c r="F17" s="14" t="n">
        <f aca="false">CHOOSE(Assumptions!$B$4,F6,F9,F12)</f>
        <v>1</v>
      </c>
      <c r="G17" s="14" t="n">
        <f aca="false">CHOOSE(Assumptions!$B$4,G6,G9,G12)</f>
        <v>1</v>
      </c>
      <c r="H17" s="14" t="n">
        <f aca="false">CHOOSE(Assumptions!$B$4,H6,H9,H12)</f>
        <v>2</v>
      </c>
      <c r="I17" s="14" t="n">
        <f aca="false">CHOOSE(Assumptions!$B$4,I6,I9,I12)</f>
        <v>2</v>
      </c>
      <c r="J17" s="14" t="n">
        <f aca="false">CHOOSE(Assumptions!$B$4,J6,J9,J12)</f>
        <v>2</v>
      </c>
      <c r="K17" s="14" t="n">
        <f aca="false">CHOOSE(Assumptions!$B$4,K6,K9,K12)</f>
        <v>3</v>
      </c>
      <c r="L17" s="14" t="n">
        <f aca="false">CHOOSE(Assumptions!$B$4,L6,L9,L12)</f>
        <v>3</v>
      </c>
      <c r="M17" s="14" t="n">
        <f aca="false">CHOOSE(Assumptions!$B$4,M6,M9,M12)</f>
        <v>4</v>
      </c>
      <c r="N17" s="14" t="n">
        <f aca="false">CHOOSE(Assumptions!$B$4,N6,N9,N12)</f>
        <v>4</v>
      </c>
      <c r="O17" s="15" t="n">
        <f aca="false">SUM(C17:N17)</f>
        <v>23</v>
      </c>
    </row>
    <row r="18" customFormat="false" ht="15" hidden="false" customHeight="false" outlineLevel="0" collapsed="false">
      <c r="A18" s="3" t="s">
        <v>181</v>
      </c>
      <c r="B18" s="3" t="s">
        <v>66</v>
      </c>
      <c r="C18" s="14" t="n">
        <f aca="false">CHOOSE(Assumptions!$B$4,C7,C10,C13)</f>
        <v>0</v>
      </c>
      <c r="D18" s="14" t="n">
        <f aca="false">CHOOSE(Assumptions!$B$4,D7,D10,D13)</f>
        <v>0</v>
      </c>
      <c r="E18" s="14" t="n">
        <f aca="false">CHOOSE(Assumptions!$B$4,E7,E10,E13)</f>
        <v>0</v>
      </c>
      <c r="F18" s="14" t="n">
        <f aca="false">CHOOSE(Assumptions!$B$4,F7,F10,F13)</f>
        <v>0</v>
      </c>
      <c r="G18" s="14" t="n">
        <f aca="false">CHOOSE(Assumptions!$B$4,G7,G10,G13)</f>
        <v>0</v>
      </c>
      <c r="H18" s="14" t="n">
        <f aca="false">CHOOSE(Assumptions!$B$4,H7,H10,H13)</f>
        <v>0</v>
      </c>
      <c r="I18" s="14" t="n">
        <f aca="false">CHOOSE(Assumptions!$B$4,I7,I10,I13)</f>
        <v>1</v>
      </c>
      <c r="J18" s="14" t="n">
        <f aca="false">CHOOSE(Assumptions!$B$4,J7,J10,J13)</f>
        <v>0</v>
      </c>
      <c r="K18" s="14" t="n">
        <f aca="false">CHOOSE(Assumptions!$B$4,K7,K10,K13)</f>
        <v>1</v>
      </c>
      <c r="L18" s="14" t="n">
        <f aca="false">CHOOSE(Assumptions!$B$4,L7,L10,L13)</f>
        <v>0</v>
      </c>
      <c r="M18" s="14" t="n">
        <f aca="false">CHOOSE(Assumptions!$B$4,M7,M10,M13)</f>
        <v>1</v>
      </c>
      <c r="N18" s="14" t="n">
        <f aca="false">CHOOSE(Assumptions!$B$4,N7,N10,N13)</f>
        <v>1</v>
      </c>
      <c r="O18" s="15" t="n">
        <f aca="false">SUM(C18:N18)</f>
        <v>4</v>
      </c>
    </row>
  </sheetData>
  <mergeCells count="1">
    <mergeCell ref="P5:P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5"/>
    <col collapsed="false" customWidth="true" hidden="false" outlineLevel="0" max="5" min="5" style="0" width="95"/>
  </cols>
  <sheetData>
    <row r="1" customFormat="false" ht="17.35" hidden="false" customHeight="false" outlineLevel="0" collapsed="false">
      <c r="A1" s="1" t="s">
        <v>182</v>
      </c>
    </row>
    <row r="2" customFormat="false" ht="15" hidden="false" customHeight="false" outlineLevel="0" collapsed="false">
      <c r="A2" s="2" t="s">
        <v>183</v>
      </c>
    </row>
    <row r="3" customFormat="false" ht="15" hidden="false" customHeight="false" outlineLevel="0" collapsed="false">
      <c r="A3" s="8" t="s">
        <v>184</v>
      </c>
      <c r="B3" s="8" t="s">
        <v>22</v>
      </c>
      <c r="C3" s="8" t="s">
        <v>23</v>
      </c>
      <c r="D3" s="8" t="s">
        <v>24</v>
      </c>
      <c r="E3" s="8" t="s">
        <v>114</v>
      </c>
    </row>
    <row r="4" customFormat="false" ht="15" hidden="false" customHeight="false" outlineLevel="0" collapsed="false">
      <c r="A4" s="3" t="s">
        <v>185</v>
      </c>
      <c r="B4" s="25" t="n">
        <v>72000</v>
      </c>
      <c r="C4" s="25" t="n">
        <v>192000</v>
      </c>
      <c r="D4" s="25" t="n">
        <v>264000</v>
      </c>
      <c r="E4" s="2" t="s">
        <v>186</v>
      </c>
    </row>
    <row r="5" customFormat="false" ht="15" hidden="false" customHeight="false" outlineLevel="0" collapsed="false">
      <c r="A5" s="3" t="s">
        <v>187</v>
      </c>
      <c r="B5" s="25" t="n">
        <v>10000</v>
      </c>
      <c r="C5" s="25" t="n">
        <v>20000</v>
      </c>
      <c r="D5" s="25" t="n">
        <v>30000</v>
      </c>
      <c r="E5" s="2" t="s">
        <v>188</v>
      </c>
    </row>
    <row r="6" customFormat="false" ht="15" hidden="false" customHeight="false" outlineLevel="0" collapsed="false">
      <c r="A6" s="3" t="s">
        <v>189</v>
      </c>
      <c r="B6" s="25" t="n">
        <v>4000</v>
      </c>
      <c r="C6" s="25" t="n">
        <v>8000</v>
      </c>
      <c r="D6" s="25" t="n">
        <v>14000</v>
      </c>
      <c r="E6" s="2" t="s">
        <v>190</v>
      </c>
    </row>
    <row r="7" customFormat="false" ht="15" hidden="false" customHeight="false" outlineLevel="0" collapsed="false">
      <c r="A7" s="3" t="s">
        <v>191</v>
      </c>
      <c r="B7" s="25" t="n">
        <v>15000</v>
      </c>
      <c r="C7" s="25" t="n">
        <v>15000</v>
      </c>
      <c r="D7" s="25" t="n">
        <v>20000</v>
      </c>
      <c r="E7" s="2" t="s">
        <v>192</v>
      </c>
    </row>
    <row r="8" customFormat="false" ht="15" hidden="false" customHeight="false" outlineLevel="0" collapsed="false">
      <c r="A8" s="3" t="s">
        <v>193</v>
      </c>
      <c r="B8" s="25" t="n">
        <v>9000</v>
      </c>
      <c r="C8" s="25" t="n">
        <v>37000</v>
      </c>
      <c r="D8" s="25" t="n">
        <v>45000</v>
      </c>
      <c r="E8" s="2" t="s">
        <v>194</v>
      </c>
    </row>
    <row r="9" customFormat="false" ht="15" hidden="false" customHeight="false" outlineLevel="0" collapsed="false">
      <c r="A9" s="3" t="s">
        <v>195</v>
      </c>
      <c r="B9" s="25" t="n">
        <v>15000</v>
      </c>
      <c r="C9" s="25" t="n">
        <v>40000</v>
      </c>
      <c r="D9" s="25" t="n">
        <v>70000</v>
      </c>
      <c r="E9" s="2" t="s">
        <v>196</v>
      </c>
    </row>
    <row r="10" customFormat="false" ht="15" hidden="false" customHeight="false" outlineLevel="0" collapsed="false">
      <c r="A10" s="3" t="s">
        <v>197</v>
      </c>
      <c r="B10" s="25" t="n">
        <v>12000</v>
      </c>
      <c r="C10" s="25" t="n">
        <v>24000</v>
      </c>
      <c r="D10" s="25" t="n">
        <v>36000</v>
      </c>
      <c r="E10" s="2" t="s">
        <v>198</v>
      </c>
    </row>
    <row r="12" customFormat="false" ht="15" hidden="false" customHeight="false" outlineLevel="0" collapsed="false">
      <c r="A12" s="8" t="s">
        <v>199</v>
      </c>
      <c r="B12" s="8" t="s">
        <v>200</v>
      </c>
      <c r="C12" s="8" t="s">
        <v>201</v>
      </c>
      <c r="D12" s="8"/>
      <c r="E12" s="8" t="s">
        <v>114</v>
      </c>
    </row>
    <row r="13" customFormat="false" ht="15" hidden="false" customHeight="false" outlineLevel="0" collapsed="false">
      <c r="A13" s="3" t="s">
        <v>57</v>
      </c>
      <c r="B13" s="25" t="n">
        <v>105000</v>
      </c>
      <c r="C13" s="21" t="n">
        <v>5</v>
      </c>
      <c r="E13" s="2" t="s">
        <v>202</v>
      </c>
    </row>
    <row r="14" customFormat="false" ht="15" hidden="false" customHeight="false" outlineLevel="0" collapsed="false">
      <c r="A14" s="3" t="s">
        <v>58</v>
      </c>
      <c r="B14" s="25" t="n">
        <v>85000</v>
      </c>
      <c r="C14" s="21" t="n">
        <v>8</v>
      </c>
      <c r="E14" s="2" t="s">
        <v>203</v>
      </c>
    </row>
    <row r="15" customFormat="false" ht="15" hidden="false" customHeight="false" outlineLevel="0" collapsed="false">
      <c r="A15" s="3" t="s">
        <v>59</v>
      </c>
      <c r="B15" s="25" t="n">
        <v>115000</v>
      </c>
      <c r="C15" s="21" t="n">
        <v>25</v>
      </c>
      <c r="E15" s="2" t="s">
        <v>204</v>
      </c>
    </row>
    <row r="16" customFormat="false" ht="15" hidden="false" customHeight="false" outlineLevel="0" collapsed="false">
      <c r="A16" s="3" t="s">
        <v>60</v>
      </c>
      <c r="B16" s="25" t="n">
        <v>75000</v>
      </c>
      <c r="C16" s="21" t="n">
        <v>40</v>
      </c>
      <c r="E16" s="2" t="s">
        <v>205</v>
      </c>
    </row>
    <row r="18" customFormat="false" ht="15" hidden="false" customHeight="false" outlineLevel="0" collapsed="false">
      <c r="A18" s="8" t="s">
        <v>40</v>
      </c>
      <c r="B18" s="8" t="s">
        <v>206</v>
      </c>
      <c r="C18" s="8" t="s">
        <v>207</v>
      </c>
      <c r="D18" s="8"/>
      <c r="E18" s="8" t="s">
        <v>114</v>
      </c>
    </row>
    <row r="19" customFormat="false" ht="15" hidden="false" customHeight="false" outlineLevel="0" collapsed="false">
      <c r="A19" s="3" t="s">
        <v>208</v>
      </c>
      <c r="B19" s="25" t="n">
        <v>5500</v>
      </c>
      <c r="C19" s="23" t="n">
        <v>1</v>
      </c>
      <c r="E19" s="2" t="s">
        <v>209</v>
      </c>
    </row>
    <row r="20" customFormat="false" ht="15" hidden="false" customHeight="false" outlineLevel="0" collapsed="false">
      <c r="A20" s="3" t="s">
        <v>210</v>
      </c>
      <c r="B20" s="25" t="n">
        <v>22500</v>
      </c>
      <c r="C20" s="23" t="n">
        <v>5</v>
      </c>
      <c r="E20" s="2" t="s">
        <v>211</v>
      </c>
    </row>
    <row r="21" customFormat="false" ht="15" hidden="false" customHeight="false" outlineLevel="0" collapsed="false">
      <c r="A21" s="3" t="s">
        <v>212</v>
      </c>
      <c r="B21" s="25" t="n">
        <v>8000</v>
      </c>
      <c r="C21" s="23" t="n">
        <v>13</v>
      </c>
      <c r="E21" s="2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7" min="2" style="0" width="11"/>
  </cols>
  <sheetData>
    <row r="1" customFormat="false" ht="17.35" hidden="false" customHeight="false" outlineLevel="0" collapsed="false">
      <c r="A1" s="1" t="s">
        <v>214</v>
      </c>
    </row>
    <row r="2" customFormat="false" ht="15" hidden="false" customHeight="false" outlineLevel="0" collapsed="false">
      <c r="A2" s="3" t="s">
        <v>215</v>
      </c>
      <c r="B2" s="31" t="n">
        <v>1</v>
      </c>
      <c r="C2" s="31" t="n">
        <v>2</v>
      </c>
      <c r="D2" s="31" t="n">
        <v>3</v>
      </c>
      <c r="E2" s="31" t="n">
        <v>4</v>
      </c>
      <c r="F2" s="31" t="n">
        <v>5</v>
      </c>
      <c r="G2" s="31" t="n">
        <v>6</v>
      </c>
      <c r="H2" s="31" t="n">
        <v>7</v>
      </c>
      <c r="I2" s="31" t="n">
        <v>8</v>
      </c>
      <c r="J2" s="31" t="n">
        <v>9</v>
      </c>
      <c r="K2" s="31" t="n">
        <v>10</v>
      </c>
      <c r="L2" s="31" t="n">
        <v>11</v>
      </c>
      <c r="M2" s="31" t="n">
        <v>12</v>
      </c>
      <c r="N2" s="31" t="n">
        <v>13</v>
      </c>
      <c r="O2" s="31" t="n">
        <v>14</v>
      </c>
      <c r="P2" s="31" t="n">
        <v>15</v>
      </c>
      <c r="Q2" s="31" t="n">
        <v>16</v>
      </c>
      <c r="R2" s="31" t="n">
        <v>17</v>
      </c>
      <c r="S2" s="31" t="n">
        <v>18</v>
      </c>
      <c r="T2" s="31" t="n">
        <v>19</v>
      </c>
      <c r="U2" s="31" t="n">
        <v>20</v>
      </c>
      <c r="V2" s="31" t="n">
        <v>21</v>
      </c>
      <c r="W2" s="31" t="n">
        <v>22</v>
      </c>
      <c r="X2" s="31" t="n">
        <v>23</v>
      </c>
      <c r="Y2" s="31" t="n">
        <v>24</v>
      </c>
      <c r="Z2" s="31" t="n">
        <v>25</v>
      </c>
      <c r="AA2" s="31" t="n">
        <v>26</v>
      </c>
      <c r="AB2" s="31" t="n">
        <v>27</v>
      </c>
      <c r="AC2" s="31" t="n">
        <v>28</v>
      </c>
      <c r="AD2" s="31" t="n">
        <v>29</v>
      </c>
      <c r="AE2" s="31" t="n">
        <v>30</v>
      </c>
      <c r="AF2" s="31" t="n">
        <v>31</v>
      </c>
      <c r="AG2" s="31" t="n">
        <v>32</v>
      </c>
      <c r="AH2" s="31" t="n">
        <v>33</v>
      </c>
      <c r="AI2" s="31" t="n">
        <v>34</v>
      </c>
      <c r="AJ2" s="31" t="n">
        <v>35</v>
      </c>
      <c r="AK2" s="31" t="n">
        <v>36</v>
      </c>
    </row>
    <row r="3" customFormat="false" ht="15" hidden="false" customHeight="false" outlineLevel="0" collapsed="false">
      <c r="A3" s="3" t="s">
        <v>216</v>
      </c>
      <c r="B3" s="20" t="n">
        <f aca="false">ROUNDUP(B2/12,0)</f>
        <v>1</v>
      </c>
      <c r="C3" s="20" t="n">
        <f aca="false">ROUNDUP(C2/12,0)</f>
        <v>1</v>
      </c>
      <c r="D3" s="20" t="n">
        <f aca="false">ROUNDUP(D2/12,0)</f>
        <v>1</v>
      </c>
      <c r="E3" s="20" t="n">
        <f aca="false">ROUNDUP(E2/12,0)</f>
        <v>1</v>
      </c>
      <c r="F3" s="20" t="n">
        <f aca="false">ROUNDUP(F2/12,0)</f>
        <v>1</v>
      </c>
      <c r="G3" s="20" t="n">
        <f aca="false">ROUNDUP(G2/12,0)</f>
        <v>1</v>
      </c>
      <c r="H3" s="20" t="n">
        <f aca="false">ROUNDUP(H2/12,0)</f>
        <v>1</v>
      </c>
      <c r="I3" s="20" t="n">
        <f aca="false">ROUNDUP(I2/12,0)</f>
        <v>1</v>
      </c>
      <c r="J3" s="20" t="n">
        <f aca="false">ROUNDUP(J2/12,0)</f>
        <v>1</v>
      </c>
      <c r="K3" s="20" t="n">
        <f aca="false">ROUNDUP(K2/12,0)</f>
        <v>1</v>
      </c>
      <c r="L3" s="20" t="n">
        <f aca="false">ROUNDUP(L2/12,0)</f>
        <v>1</v>
      </c>
      <c r="M3" s="20" t="n">
        <f aca="false">ROUNDUP(M2/12,0)</f>
        <v>1</v>
      </c>
      <c r="N3" s="20" t="n">
        <f aca="false">ROUNDUP(N2/12,0)</f>
        <v>2</v>
      </c>
      <c r="O3" s="20" t="n">
        <f aca="false">ROUNDUP(O2/12,0)</f>
        <v>2</v>
      </c>
      <c r="P3" s="20" t="n">
        <f aca="false">ROUNDUP(P2/12,0)</f>
        <v>2</v>
      </c>
      <c r="Q3" s="20" t="n">
        <f aca="false">ROUNDUP(Q2/12,0)</f>
        <v>2</v>
      </c>
      <c r="R3" s="20" t="n">
        <f aca="false">ROUNDUP(R2/12,0)</f>
        <v>2</v>
      </c>
      <c r="S3" s="20" t="n">
        <f aca="false">ROUNDUP(S2/12,0)</f>
        <v>2</v>
      </c>
      <c r="T3" s="20" t="n">
        <f aca="false">ROUNDUP(T2/12,0)</f>
        <v>2</v>
      </c>
      <c r="U3" s="20" t="n">
        <f aca="false">ROUNDUP(U2/12,0)</f>
        <v>2</v>
      </c>
      <c r="V3" s="20" t="n">
        <f aca="false">ROUNDUP(V2/12,0)</f>
        <v>2</v>
      </c>
      <c r="W3" s="20" t="n">
        <f aca="false">ROUNDUP(W2/12,0)</f>
        <v>2</v>
      </c>
      <c r="X3" s="20" t="n">
        <f aca="false">ROUNDUP(X2/12,0)</f>
        <v>2</v>
      </c>
      <c r="Y3" s="20" t="n">
        <f aca="false">ROUNDUP(Y2/12,0)</f>
        <v>2</v>
      </c>
      <c r="Z3" s="20" t="n">
        <f aca="false">ROUNDUP(Z2/12,0)</f>
        <v>3</v>
      </c>
      <c r="AA3" s="20" t="n">
        <f aca="false">ROUNDUP(AA2/12,0)</f>
        <v>3</v>
      </c>
      <c r="AB3" s="20" t="n">
        <f aca="false">ROUNDUP(AB2/12,0)</f>
        <v>3</v>
      </c>
      <c r="AC3" s="20" t="n">
        <f aca="false">ROUNDUP(AC2/12,0)</f>
        <v>3</v>
      </c>
      <c r="AD3" s="20" t="n">
        <f aca="false">ROUNDUP(AD2/12,0)</f>
        <v>3</v>
      </c>
      <c r="AE3" s="20" t="n">
        <f aca="false">ROUNDUP(AE2/12,0)</f>
        <v>3</v>
      </c>
      <c r="AF3" s="20" t="n">
        <f aca="false">ROUNDUP(AF2/12,0)</f>
        <v>3</v>
      </c>
      <c r="AG3" s="20" t="n">
        <f aca="false">ROUNDUP(AG2/12,0)</f>
        <v>3</v>
      </c>
      <c r="AH3" s="20" t="n">
        <f aca="false">ROUNDUP(AH2/12,0)</f>
        <v>3</v>
      </c>
      <c r="AI3" s="20" t="n">
        <f aca="false">ROUNDUP(AI2/12,0)</f>
        <v>3</v>
      </c>
      <c r="AJ3" s="20" t="n">
        <f aca="false">ROUNDUP(AJ2/12,0)</f>
        <v>3</v>
      </c>
      <c r="AK3" s="20" t="n">
        <f aca="false">ROUNDUP(AK2/12,0)</f>
        <v>3</v>
      </c>
    </row>
    <row r="4" customFormat="false" ht="15" hidden="false" customHeight="false" outlineLevel="0" collapsed="false">
      <c r="A4" s="3" t="s">
        <v>217</v>
      </c>
      <c r="B4" s="20" t="n">
        <f aca="false">ROUNDUP(B2/3,0)</f>
        <v>1</v>
      </c>
      <c r="C4" s="20" t="n">
        <f aca="false">ROUNDUP(C2/3,0)</f>
        <v>1</v>
      </c>
      <c r="D4" s="20" t="n">
        <f aca="false">ROUNDUP(D2/3,0)</f>
        <v>1</v>
      </c>
      <c r="E4" s="20" t="n">
        <f aca="false">ROUNDUP(E2/3,0)</f>
        <v>2</v>
      </c>
      <c r="F4" s="20" t="n">
        <f aca="false">ROUNDUP(F2/3,0)</f>
        <v>2</v>
      </c>
      <c r="G4" s="20" t="n">
        <f aca="false">ROUNDUP(G2/3,0)</f>
        <v>2</v>
      </c>
      <c r="H4" s="20" t="n">
        <f aca="false">ROUNDUP(H2/3,0)</f>
        <v>3</v>
      </c>
      <c r="I4" s="20" t="n">
        <f aca="false">ROUNDUP(I2/3,0)</f>
        <v>3</v>
      </c>
      <c r="J4" s="20" t="n">
        <f aca="false">ROUNDUP(J2/3,0)</f>
        <v>3</v>
      </c>
      <c r="K4" s="20" t="n">
        <f aca="false">ROUNDUP(K2/3,0)</f>
        <v>4</v>
      </c>
      <c r="L4" s="20" t="n">
        <f aca="false">ROUNDUP(L2/3,0)</f>
        <v>4</v>
      </c>
      <c r="M4" s="20" t="n">
        <f aca="false">ROUNDUP(M2/3,0)</f>
        <v>4</v>
      </c>
      <c r="N4" s="20" t="n">
        <f aca="false">ROUNDUP(N2/3,0)</f>
        <v>5</v>
      </c>
      <c r="O4" s="20" t="n">
        <f aca="false">ROUNDUP(O2/3,0)</f>
        <v>5</v>
      </c>
      <c r="P4" s="20" t="n">
        <f aca="false">ROUNDUP(P2/3,0)</f>
        <v>5</v>
      </c>
      <c r="Q4" s="20" t="n">
        <f aca="false">ROUNDUP(Q2/3,0)</f>
        <v>6</v>
      </c>
      <c r="R4" s="20" t="n">
        <f aca="false">ROUNDUP(R2/3,0)</f>
        <v>6</v>
      </c>
      <c r="S4" s="20" t="n">
        <f aca="false">ROUNDUP(S2/3,0)</f>
        <v>6</v>
      </c>
      <c r="T4" s="20" t="n">
        <f aca="false">ROUNDUP(T2/3,0)</f>
        <v>7</v>
      </c>
      <c r="U4" s="20" t="n">
        <f aca="false">ROUNDUP(U2/3,0)</f>
        <v>7</v>
      </c>
      <c r="V4" s="20" t="n">
        <f aca="false">ROUNDUP(V2/3,0)</f>
        <v>7</v>
      </c>
      <c r="W4" s="20" t="n">
        <f aca="false">ROUNDUP(W2/3,0)</f>
        <v>8</v>
      </c>
      <c r="X4" s="20" t="n">
        <f aca="false">ROUNDUP(X2/3,0)</f>
        <v>8</v>
      </c>
      <c r="Y4" s="20" t="n">
        <f aca="false">ROUNDUP(Y2/3,0)</f>
        <v>8</v>
      </c>
      <c r="Z4" s="20" t="n">
        <f aca="false">ROUNDUP(Z2/3,0)</f>
        <v>9</v>
      </c>
      <c r="AA4" s="20" t="n">
        <f aca="false">ROUNDUP(AA2/3,0)</f>
        <v>9</v>
      </c>
      <c r="AB4" s="20" t="n">
        <f aca="false">ROUNDUP(AB2/3,0)</f>
        <v>9</v>
      </c>
      <c r="AC4" s="20" t="n">
        <f aca="false">ROUNDUP(AC2/3,0)</f>
        <v>10</v>
      </c>
      <c r="AD4" s="20" t="n">
        <f aca="false">ROUNDUP(AD2/3,0)</f>
        <v>10</v>
      </c>
      <c r="AE4" s="20" t="n">
        <f aca="false">ROUNDUP(AE2/3,0)</f>
        <v>10</v>
      </c>
      <c r="AF4" s="20" t="n">
        <f aca="false">ROUNDUP(AF2/3,0)</f>
        <v>11</v>
      </c>
      <c r="AG4" s="20" t="n">
        <f aca="false">ROUNDUP(AG2/3,0)</f>
        <v>11</v>
      </c>
      <c r="AH4" s="20" t="n">
        <f aca="false">ROUNDUP(AH2/3,0)</f>
        <v>11</v>
      </c>
      <c r="AI4" s="20" t="n">
        <f aca="false">ROUNDUP(AI2/3,0)</f>
        <v>12</v>
      </c>
      <c r="AJ4" s="20" t="n">
        <f aca="false">ROUNDUP(AJ2/3,0)</f>
        <v>12</v>
      </c>
      <c r="AK4" s="20" t="n">
        <f aca="false">ROUNDUP(AK2/3,0)</f>
        <v>12</v>
      </c>
    </row>
    <row r="6" customFormat="false" ht="15" hidden="false" customHeight="false" outlineLevel="0" collapsed="false">
      <c r="A6" s="10" t="s">
        <v>26</v>
      </c>
    </row>
    <row r="7" customFormat="false" ht="15" hidden="false" customHeight="false" outlineLevel="0" collapsed="false">
      <c r="A7" s="3" t="s">
        <v>218</v>
      </c>
      <c r="B7" s="9" t="n">
        <f aca="false">INDEX('Sales Plan'!$C$16:$N$16,1,B$4)/3</f>
        <v>0</v>
      </c>
      <c r="C7" s="9" t="n">
        <f aca="false">INDEX('Sales Plan'!$C$16:$N$16,1,C$4)/3</f>
        <v>0</v>
      </c>
      <c r="D7" s="9" t="n">
        <f aca="false">INDEX('Sales Plan'!$C$16:$N$16,1,D$4)/3</f>
        <v>0</v>
      </c>
      <c r="E7" s="9" t="n">
        <f aca="false">INDEX('Sales Plan'!$C$16:$N$16,1,E$4)/3</f>
        <v>0.333333333333333</v>
      </c>
      <c r="F7" s="9" t="n">
        <f aca="false">INDEX('Sales Plan'!$C$16:$N$16,1,F$4)/3</f>
        <v>0.333333333333333</v>
      </c>
      <c r="G7" s="9" t="n">
        <f aca="false">INDEX('Sales Plan'!$C$16:$N$16,1,G$4)/3</f>
        <v>0.333333333333333</v>
      </c>
      <c r="H7" s="9" t="n">
        <f aca="false">INDEX('Sales Plan'!$C$16:$N$16,1,H$4)/3</f>
        <v>0.333333333333333</v>
      </c>
      <c r="I7" s="9" t="n">
        <f aca="false">INDEX('Sales Plan'!$C$16:$N$16,1,I$4)/3</f>
        <v>0.333333333333333</v>
      </c>
      <c r="J7" s="9" t="n">
        <f aca="false">INDEX('Sales Plan'!$C$16:$N$16,1,J$4)/3</f>
        <v>0.333333333333333</v>
      </c>
      <c r="K7" s="9" t="n">
        <f aca="false">INDEX('Sales Plan'!$C$16:$N$16,1,K$4)/3</f>
        <v>0.333333333333333</v>
      </c>
      <c r="L7" s="9" t="n">
        <f aca="false">INDEX('Sales Plan'!$C$16:$N$16,1,L$4)/3</f>
        <v>0.333333333333333</v>
      </c>
      <c r="M7" s="9" t="n">
        <f aca="false">INDEX('Sales Plan'!$C$16:$N$16,1,M$4)/3</f>
        <v>0.333333333333333</v>
      </c>
      <c r="N7" s="9" t="n">
        <f aca="false">INDEX('Sales Plan'!$C$16:$N$16,1,N$4)/3</f>
        <v>0.666666666666667</v>
      </c>
      <c r="O7" s="9" t="n">
        <f aca="false">INDEX('Sales Plan'!$C$16:$N$16,1,O$4)/3</f>
        <v>0.666666666666667</v>
      </c>
      <c r="P7" s="9" t="n">
        <f aca="false">INDEX('Sales Plan'!$C$16:$N$16,1,P$4)/3</f>
        <v>0.666666666666667</v>
      </c>
      <c r="Q7" s="9" t="n">
        <f aca="false">INDEX('Sales Plan'!$C$16:$N$16,1,Q$4)/3</f>
        <v>0.666666666666667</v>
      </c>
      <c r="R7" s="9" t="n">
        <f aca="false">INDEX('Sales Plan'!$C$16:$N$16,1,R$4)/3</f>
        <v>0.666666666666667</v>
      </c>
      <c r="S7" s="9" t="n">
        <f aca="false">INDEX('Sales Plan'!$C$16:$N$16,1,S$4)/3</f>
        <v>0.666666666666667</v>
      </c>
      <c r="T7" s="9" t="n">
        <f aca="false">INDEX('Sales Plan'!$C$16:$N$16,1,T$4)/3</f>
        <v>0.666666666666667</v>
      </c>
      <c r="U7" s="9" t="n">
        <f aca="false">INDEX('Sales Plan'!$C$16:$N$16,1,U$4)/3</f>
        <v>0.666666666666667</v>
      </c>
      <c r="V7" s="9" t="n">
        <f aca="false">INDEX('Sales Plan'!$C$16:$N$16,1,V$4)/3</f>
        <v>0.666666666666667</v>
      </c>
      <c r="W7" s="9" t="n">
        <f aca="false">INDEX('Sales Plan'!$C$16:$N$16,1,W$4)/3</f>
        <v>0.666666666666667</v>
      </c>
      <c r="X7" s="9" t="n">
        <f aca="false">INDEX('Sales Plan'!$C$16:$N$16,1,X$4)/3</f>
        <v>0.666666666666667</v>
      </c>
      <c r="Y7" s="9" t="n">
        <f aca="false">INDEX('Sales Plan'!$C$16:$N$16,1,Y$4)/3</f>
        <v>0.666666666666667</v>
      </c>
      <c r="Z7" s="9" t="n">
        <f aca="false">INDEX('Sales Plan'!$C$16:$N$16,1,Z$4)/3</f>
        <v>1</v>
      </c>
      <c r="AA7" s="9" t="n">
        <f aca="false">INDEX('Sales Plan'!$C$16:$N$16,1,AA$4)/3</f>
        <v>1</v>
      </c>
      <c r="AB7" s="9" t="n">
        <f aca="false">INDEX('Sales Plan'!$C$16:$N$16,1,AB$4)/3</f>
        <v>1</v>
      </c>
      <c r="AC7" s="9" t="n">
        <f aca="false">INDEX('Sales Plan'!$C$16:$N$16,1,AC$4)/3</f>
        <v>1</v>
      </c>
      <c r="AD7" s="9" t="n">
        <f aca="false">INDEX('Sales Plan'!$C$16:$N$16,1,AD$4)/3</f>
        <v>1</v>
      </c>
      <c r="AE7" s="9" t="n">
        <f aca="false">INDEX('Sales Plan'!$C$16:$N$16,1,AE$4)/3</f>
        <v>1</v>
      </c>
      <c r="AF7" s="9" t="n">
        <f aca="false">INDEX('Sales Plan'!$C$16:$N$16,1,AF$4)/3</f>
        <v>1</v>
      </c>
      <c r="AG7" s="9" t="n">
        <f aca="false">INDEX('Sales Plan'!$C$16:$N$16,1,AG$4)/3</f>
        <v>1</v>
      </c>
      <c r="AH7" s="9" t="n">
        <f aca="false">INDEX('Sales Plan'!$C$16:$N$16,1,AH$4)/3</f>
        <v>1</v>
      </c>
      <c r="AI7" s="9" t="n">
        <f aca="false">INDEX('Sales Plan'!$C$16:$N$16,1,AI$4)/3</f>
        <v>1.33333333333333</v>
      </c>
      <c r="AJ7" s="9" t="n">
        <f aca="false">INDEX('Sales Plan'!$C$16:$N$16,1,AJ$4)/3</f>
        <v>1.33333333333333</v>
      </c>
      <c r="AK7" s="9" t="n">
        <f aca="false">INDEX('Sales Plan'!$C$16:$N$16,1,AK$4)/3</f>
        <v>1.33333333333333</v>
      </c>
    </row>
    <row r="8" customFormat="false" ht="15" hidden="false" customHeight="false" outlineLevel="0" collapsed="false">
      <c r="A8" s="3" t="s">
        <v>219</v>
      </c>
      <c r="B8" s="9" t="n">
        <f aca="false">INDEX('Sales Plan'!$C$17:$N$17,1,B$4)/3</f>
        <v>0</v>
      </c>
      <c r="C8" s="9" t="n">
        <f aca="false">INDEX('Sales Plan'!$C$17:$N$17,1,C$4)/3</f>
        <v>0</v>
      </c>
      <c r="D8" s="9" t="n">
        <f aca="false">INDEX('Sales Plan'!$C$17:$N$17,1,D$4)/3</f>
        <v>0</v>
      </c>
      <c r="E8" s="9" t="n">
        <f aca="false">INDEX('Sales Plan'!$C$17:$N$17,1,E$4)/3</f>
        <v>0</v>
      </c>
      <c r="F8" s="9" t="n">
        <f aca="false">INDEX('Sales Plan'!$C$17:$N$17,1,F$4)/3</f>
        <v>0</v>
      </c>
      <c r="G8" s="9" t="n">
        <f aca="false">INDEX('Sales Plan'!$C$17:$N$17,1,G$4)/3</f>
        <v>0</v>
      </c>
      <c r="H8" s="9" t="n">
        <f aca="false">INDEX('Sales Plan'!$C$17:$N$17,1,H$4)/3</f>
        <v>0.333333333333333</v>
      </c>
      <c r="I8" s="9" t="n">
        <f aca="false">INDEX('Sales Plan'!$C$17:$N$17,1,I$4)/3</f>
        <v>0.333333333333333</v>
      </c>
      <c r="J8" s="9" t="n">
        <f aca="false">INDEX('Sales Plan'!$C$17:$N$17,1,J$4)/3</f>
        <v>0.333333333333333</v>
      </c>
      <c r="K8" s="9" t="n">
        <f aca="false">INDEX('Sales Plan'!$C$17:$N$17,1,K$4)/3</f>
        <v>0.333333333333333</v>
      </c>
      <c r="L8" s="9" t="n">
        <f aca="false">INDEX('Sales Plan'!$C$17:$N$17,1,L$4)/3</f>
        <v>0.333333333333333</v>
      </c>
      <c r="M8" s="9" t="n">
        <f aca="false">INDEX('Sales Plan'!$C$17:$N$17,1,M$4)/3</f>
        <v>0.333333333333333</v>
      </c>
      <c r="N8" s="9" t="n">
        <f aca="false">INDEX('Sales Plan'!$C$17:$N$17,1,N$4)/3</f>
        <v>0.333333333333333</v>
      </c>
      <c r="O8" s="9" t="n">
        <f aca="false">INDEX('Sales Plan'!$C$17:$N$17,1,O$4)/3</f>
        <v>0.333333333333333</v>
      </c>
      <c r="P8" s="9" t="n">
        <f aca="false">INDEX('Sales Plan'!$C$17:$N$17,1,P$4)/3</f>
        <v>0.333333333333333</v>
      </c>
      <c r="Q8" s="9" t="n">
        <f aca="false">INDEX('Sales Plan'!$C$17:$N$17,1,Q$4)/3</f>
        <v>0.666666666666667</v>
      </c>
      <c r="R8" s="9" t="n">
        <f aca="false">INDEX('Sales Plan'!$C$17:$N$17,1,R$4)/3</f>
        <v>0.666666666666667</v>
      </c>
      <c r="S8" s="9" t="n">
        <f aca="false">INDEX('Sales Plan'!$C$17:$N$17,1,S$4)/3</f>
        <v>0.666666666666667</v>
      </c>
      <c r="T8" s="9" t="n">
        <f aca="false">INDEX('Sales Plan'!$C$17:$N$17,1,T$4)/3</f>
        <v>0.666666666666667</v>
      </c>
      <c r="U8" s="9" t="n">
        <f aca="false">INDEX('Sales Plan'!$C$17:$N$17,1,U$4)/3</f>
        <v>0.666666666666667</v>
      </c>
      <c r="V8" s="9" t="n">
        <f aca="false">INDEX('Sales Plan'!$C$17:$N$17,1,V$4)/3</f>
        <v>0.666666666666667</v>
      </c>
      <c r="W8" s="9" t="n">
        <f aca="false">INDEX('Sales Plan'!$C$17:$N$17,1,W$4)/3</f>
        <v>0.666666666666667</v>
      </c>
      <c r="X8" s="9" t="n">
        <f aca="false">INDEX('Sales Plan'!$C$17:$N$17,1,X$4)/3</f>
        <v>0.666666666666667</v>
      </c>
      <c r="Y8" s="9" t="n">
        <f aca="false">INDEX('Sales Plan'!$C$17:$N$17,1,Y$4)/3</f>
        <v>0.666666666666667</v>
      </c>
      <c r="Z8" s="9" t="n">
        <f aca="false">INDEX('Sales Plan'!$C$17:$N$17,1,Z$4)/3</f>
        <v>1</v>
      </c>
      <c r="AA8" s="9" t="n">
        <f aca="false">INDEX('Sales Plan'!$C$17:$N$17,1,AA$4)/3</f>
        <v>1</v>
      </c>
      <c r="AB8" s="9" t="n">
        <f aca="false">INDEX('Sales Plan'!$C$17:$N$17,1,AB$4)/3</f>
        <v>1</v>
      </c>
      <c r="AC8" s="9" t="n">
        <f aca="false">INDEX('Sales Plan'!$C$17:$N$17,1,AC$4)/3</f>
        <v>1</v>
      </c>
      <c r="AD8" s="9" t="n">
        <f aca="false">INDEX('Sales Plan'!$C$17:$N$17,1,AD$4)/3</f>
        <v>1</v>
      </c>
      <c r="AE8" s="9" t="n">
        <f aca="false">INDEX('Sales Plan'!$C$17:$N$17,1,AE$4)/3</f>
        <v>1</v>
      </c>
      <c r="AF8" s="9" t="n">
        <f aca="false">INDEX('Sales Plan'!$C$17:$N$17,1,AF$4)/3</f>
        <v>1.33333333333333</v>
      </c>
      <c r="AG8" s="9" t="n">
        <f aca="false">INDEX('Sales Plan'!$C$17:$N$17,1,AG$4)/3</f>
        <v>1.33333333333333</v>
      </c>
      <c r="AH8" s="9" t="n">
        <f aca="false">INDEX('Sales Plan'!$C$17:$N$17,1,AH$4)/3</f>
        <v>1.33333333333333</v>
      </c>
      <c r="AI8" s="9" t="n">
        <f aca="false">INDEX('Sales Plan'!$C$17:$N$17,1,AI$4)/3</f>
        <v>1.33333333333333</v>
      </c>
      <c r="AJ8" s="9" t="n">
        <f aca="false">INDEX('Sales Plan'!$C$17:$N$17,1,AJ$4)/3</f>
        <v>1.33333333333333</v>
      </c>
      <c r="AK8" s="9" t="n">
        <f aca="false">INDEX('Sales Plan'!$C$17:$N$17,1,AK$4)/3</f>
        <v>1.33333333333333</v>
      </c>
    </row>
    <row r="9" customFormat="false" ht="15" hidden="false" customHeight="false" outlineLevel="0" collapsed="false">
      <c r="A9" s="3" t="s">
        <v>220</v>
      </c>
      <c r="B9" s="9" t="n">
        <f aca="false">INDEX('Sales Plan'!$C$18:$N$18,1,B$4)/3</f>
        <v>0</v>
      </c>
      <c r="C9" s="9" t="n">
        <f aca="false">INDEX('Sales Plan'!$C$18:$N$18,1,C$4)/3</f>
        <v>0</v>
      </c>
      <c r="D9" s="9" t="n">
        <f aca="false">INDEX('Sales Plan'!$C$18:$N$18,1,D$4)/3</f>
        <v>0</v>
      </c>
      <c r="E9" s="9" t="n">
        <f aca="false">INDEX('Sales Plan'!$C$18:$N$18,1,E$4)/3</f>
        <v>0</v>
      </c>
      <c r="F9" s="9" t="n">
        <f aca="false">INDEX('Sales Plan'!$C$18:$N$18,1,F$4)/3</f>
        <v>0</v>
      </c>
      <c r="G9" s="9" t="n">
        <f aca="false">INDEX('Sales Plan'!$C$18:$N$18,1,G$4)/3</f>
        <v>0</v>
      </c>
      <c r="H9" s="9" t="n">
        <f aca="false">INDEX('Sales Plan'!$C$18:$N$18,1,H$4)/3</f>
        <v>0</v>
      </c>
      <c r="I9" s="9" t="n">
        <f aca="false">INDEX('Sales Plan'!$C$18:$N$18,1,I$4)/3</f>
        <v>0</v>
      </c>
      <c r="J9" s="9" t="n">
        <f aca="false">INDEX('Sales Plan'!$C$18:$N$18,1,J$4)/3</f>
        <v>0</v>
      </c>
      <c r="K9" s="9" t="n">
        <f aca="false">INDEX('Sales Plan'!$C$18:$N$18,1,K$4)/3</f>
        <v>0</v>
      </c>
      <c r="L9" s="9" t="n">
        <f aca="false">INDEX('Sales Plan'!$C$18:$N$18,1,L$4)/3</f>
        <v>0</v>
      </c>
      <c r="M9" s="9" t="n">
        <f aca="false">INDEX('Sales Plan'!$C$18:$N$18,1,M$4)/3</f>
        <v>0</v>
      </c>
      <c r="N9" s="9" t="n">
        <f aca="false">INDEX('Sales Plan'!$C$18:$N$18,1,N$4)/3</f>
        <v>0</v>
      </c>
      <c r="O9" s="9" t="n">
        <f aca="false">INDEX('Sales Plan'!$C$18:$N$18,1,O$4)/3</f>
        <v>0</v>
      </c>
      <c r="P9" s="9" t="n">
        <f aca="false">INDEX('Sales Plan'!$C$18:$N$18,1,P$4)/3</f>
        <v>0</v>
      </c>
      <c r="Q9" s="9" t="n">
        <f aca="false">INDEX('Sales Plan'!$C$18:$N$18,1,Q$4)/3</f>
        <v>0</v>
      </c>
      <c r="R9" s="9" t="n">
        <f aca="false">INDEX('Sales Plan'!$C$18:$N$18,1,R$4)/3</f>
        <v>0</v>
      </c>
      <c r="S9" s="9" t="n">
        <f aca="false">INDEX('Sales Plan'!$C$18:$N$18,1,S$4)/3</f>
        <v>0</v>
      </c>
      <c r="T9" s="9" t="n">
        <f aca="false">INDEX('Sales Plan'!$C$18:$N$18,1,T$4)/3</f>
        <v>0.333333333333333</v>
      </c>
      <c r="U9" s="9" t="n">
        <f aca="false">INDEX('Sales Plan'!$C$18:$N$18,1,U$4)/3</f>
        <v>0.333333333333333</v>
      </c>
      <c r="V9" s="9" t="n">
        <f aca="false">INDEX('Sales Plan'!$C$18:$N$18,1,V$4)/3</f>
        <v>0.333333333333333</v>
      </c>
      <c r="W9" s="9" t="n">
        <f aca="false">INDEX('Sales Plan'!$C$18:$N$18,1,W$4)/3</f>
        <v>0</v>
      </c>
      <c r="X9" s="9" t="n">
        <f aca="false">INDEX('Sales Plan'!$C$18:$N$18,1,X$4)/3</f>
        <v>0</v>
      </c>
      <c r="Y9" s="9" t="n">
        <f aca="false">INDEX('Sales Plan'!$C$18:$N$18,1,Y$4)/3</f>
        <v>0</v>
      </c>
      <c r="Z9" s="9" t="n">
        <f aca="false">INDEX('Sales Plan'!$C$18:$N$18,1,Z$4)/3</f>
        <v>0.333333333333333</v>
      </c>
      <c r="AA9" s="9" t="n">
        <f aca="false">INDEX('Sales Plan'!$C$18:$N$18,1,AA$4)/3</f>
        <v>0.333333333333333</v>
      </c>
      <c r="AB9" s="9" t="n">
        <f aca="false">INDEX('Sales Plan'!$C$18:$N$18,1,AB$4)/3</f>
        <v>0.333333333333333</v>
      </c>
      <c r="AC9" s="9" t="n">
        <f aca="false">INDEX('Sales Plan'!$C$18:$N$18,1,AC$4)/3</f>
        <v>0</v>
      </c>
      <c r="AD9" s="9" t="n">
        <f aca="false">INDEX('Sales Plan'!$C$18:$N$18,1,AD$4)/3</f>
        <v>0</v>
      </c>
      <c r="AE9" s="9" t="n">
        <f aca="false">INDEX('Sales Plan'!$C$18:$N$18,1,AE$4)/3</f>
        <v>0</v>
      </c>
      <c r="AF9" s="9" t="n">
        <f aca="false">INDEX('Sales Plan'!$C$18:$N$18,1,AF$4)/3</f>
        <v>0.333333333333333</v>
      </c>
      <c r="AG9" s="9" t="n">
        <f aca="false">INDEX('Sales Plan'!$C$18:$N$18,1,AG$4)/3</f>
        <v>0.333333333333333</v>
      </c>
      <c r="AH9" s="9" t="n">
        <f aca="false">INDEX('Sales Plan'!$C$18:$N$18,1,AH$4)/3</f>
        <v>0.333333333333333</v>
      </c>
      <c r="AI9" s="9" t="n">
        <f aca="false">INDEX('Sales Plan'!$C$18:$N$18,1,AI$4)/3</f>
        <v>0.333333333333333</v>
      </c>
      <c r="AJ9" s="9" t="n">
        <f aca="false">INDEX('Sales Plan'!$C$18:$N$18,1,AJ$4)/3</f>
        <v>0.333333333333333</v>
      </c>
      <c r="AK9" s="9" t="n">
        <f aca="false">INDEX('Sales Plan'!$C$18:$N$18,1,AK$4)/3</f>
        <v>0.333333333333333</v>
      </c>
    </row>
    <row r="11" customFormat="false" ht="15" hidden="false" customHeight="false" outlineLevel="0" collapsed="false">
      <c r="A11" s="10" t="s">
        <v>221</v>
      </c>
    </row>
    <row r="12" customFormat="false" ht="15" hidden="false" customHeight="false" outlineLevel="0" collapsed="false">
      <c r="A12" s="3" t="s">
        <v>218</v>
      </c>
      <c r="B12" s="18" t="n">
        <f aca="false">B7</f>
        <v>0</v>
      </c>
      <c r="C12" s="18" t="n">
        <f aca="false">B12*(1-Assumptions!$B$25)+C7</f>
        <v>0</v>
      </c>
      <c r="D12" s="18" t="n">
        <f aca="false">C12*(1-Assumptions!$B$25)+D7</f>
        <v>0</v>
      </c>
      <c r="E12" s="18" t="n">
        <f aca="false">D12*(1-Assumptions!$B$25)+E7</f>
        <v>0.333333333333333</v>
      </c>
      <c r="F12" s="18" t="n">
        <f aca="false">E12*(1-Assumptions!$B$25)+F7</f>
        <v>0.663752796348434</v>
      </c>
      <c r="G12" s="18" t="n">
        <f aca="false">F12*(1-Assumptions!$B$25)+G7</f>
        <v>0.991283860965998</v>
      </c>
      <c r="H12" s="18" t="n">
        <f aca="false">G12*(1-Assumptions!$B$25)+H7</f>
        <v>1.3159517764411</v>
      </c>
      <c r="I12" s="18" t="n">
        <f aca="false">H12*(1-Assumptions!$B$25)+I7</f>
        <v>1.63778157130964</v>
      </c>
      <c r="J12" s="18" t="n">
        <f aca="false">I12*(1-Assumptions!$B$25)+J7</f>
        <v>1.95679805531781</v>
      </c>
      <c r="K12" s="18" t="n">
        <f aca="false">J12*(1-Assumptions!$B$25)+K7</f>
        <v>2.27302582133465</v>
      </c>
      <c r="L12" s="18" t="n">
        <f aca="false">K12*(1-Assumptions!$B$25)+L7</f>
        <v>2.5864892472479</v>
      </c>
      <c r="M12" s="18" t="n">
        <f aca="false">L12*(1-Assumptions!$B$25)+M7</f>
        <v>2.89721249784328</v>
      </c>
      <c r="N12" s="18" t="n">
        <f aca="false">M12*(1-Assumptions!$B$25)+N7</f>
        <v>3.53855286000072</v>
      </c>
      <c r="O12" s="18" t="n">
        <f aca="false">N12*(1-Assumptions!$B$25)+O7</f>
        <v>4.17428687422263</v>
      </c>
      <c r="P12" s="18" t="n">
        <f aca="false">O12*(1-Assumptions!$B$25)+P7</f>
        <v>4.80446354902155</v>
      </c>
      <c r="Q12" s="18" t="n">
        <f aca="false">P12*(1-Assumptions!$B$25)+Q7</f>
        <v>5.42913146449664</v>
      </c>
      <c r="R12" s="18" t="n">
        <f aca="false">Q12*(1-Assumptions!$B$25)+R7</f>
        <v>6.04833877607878</v>
      </c>
      <c r="S12" s="18" t="n">
        <f aca="false">R12*(1-Assumptions!$B$25)+S7</f>
        <v>6.66213321824276</v>
      </c>
      <c r="T12" s="18" t="n">
        <f aca="false">S12*(1-Assumptions!$B$25)+T7</f>
        <v>7.27056210818719</v>
      </c>
      <c r="U12" s="18" t="n">
        <f aca="false">T12*(1-Assumptions!$B$25)+U7</f>
        <v>7.87367234948212</v>
      </c>
      <c r="V12" s="18" t="n">
        <f aca="false">U12*(1-Assumptions!$B$25)+V7</f>
        <v>8.47151043568486</v>
      </c>
      <c r="W12" s="18" t="n">
        <f aca="false">V12*(1-Assumptions!$B$25)+W7</f>
        <v>9.06412245392412</v>
      </c>
      <c r="X12" s="18" t="n">
        <f aca="false">W12*(1-Assumptions!$B$25)+X7</f>
        <v>9.65155408845285</v>
      </c>
      <c r="Y12" s="18" t="n">
        <f aca="false">X12*(1-Assumptions!$B$25)+Y7</f>
        <v>10.23385062417</v>
      </c>
      <c r="Z12" s="18" t="n">
        <f aca="false">Y12*(1-Assumptions!$B$25)+Z7</f>
        <v>11.1443902834451</v>
      </c>
      <c r="AA12" s="18" t="n">
        <f aca="false">Z12*(1-Assumptions!$B$25)+AA7</f>
        <v>12.0469703592599</v>
      </c>
      <c r="AB12" s="18" t="n">
        <f aca="false">AA12*(1-Assumptions!$B$25)+AB7</f>
        <v>12.9416604311965</v>
      </c>
      <c r="AC12" s="18" t="n">
        <f aca="false">AB12*(1-Assumptions!$B$25)+AC7</f>
        <v>13.8285294705992</v>
      </c>
      <c r="AD12" s="18" t="n">
        <f aca="false">AC12*(1-Assumptions!$B$25)+AD7</f>
        <v>14.7076458458916</v>
      </c>
      <c r="AE12" s="18" t="n">
        <f aca="false">AD12*(1-Assumptions!$B$25)+AE7</f>
        <v>15.5790773278474</v>
      </c>
      <c r="AF12" s="18" t="n">
        <f aca="false">AE12*(1-Assumptions!$B$25)+AF7</f>
        <v>16.4428910948142</v>
      </c>
      <c r="AG12" s="18" t="n">
        <f aca="false">AF12*(1-Assumptions!$B$25)+AG7</f>
        <v>17.2991537378929</v>
      </c>
      <c r="AH12" s="18" t="n">
        <f aca="false">AG12*(1-Assumptions!$B$25)+AH7</f>
        <v>18.1479312660707</v>
      </c>
      <c r="AI12" s="18" t="n">
        <f aca="false">AH12*(1-Assumptions!$B$25)+AI7</f>
        <v>19.3226224446435</v>
      </c>
      <c r="AJ12" s="18" t="n">
        <f aca="false">AI12*(1-Assumptions!$B$25)+AJ7</f>
        <v>20.4870449299413</v>
      </c>
      <c r="AK12" s="18" t="n">
        <f aca="false">AJ12*(1-Assumptions!$B$25)+AK7</f>
        <v>21.6412884868857</v>
      </c>
    </row>
    <row r="13" customFormat="false" ht="15" hidden="false" customHeight="false" outlineLevel="0" collapsed="false">
      <c r="A13" s="3" t="s">
        <v>219</v>
      </c>
      <c r="B13" s="18" t="n">
        <f aca="false">B8</f>
        <v>0</v>
      </c>
      <c r="C13" s="18" t="n">
        <f aca="false">B13*(1-Assumptions!$B$25)+C8</f>
        <v>0</v>
      </c>
      <c r="D13" s="18" t="n">
        <f aca="false">C13*(1-Assumptions!$B$25)+D8</f>
        <v>0</v>
      </c>
      <c r="E13" s="18" t="n">
        <f aca="false">D13*(1-Assumptions!$B$25)+E8</f>
        <v>0</v>
      </c>
      <c r="F13" s="18" t="n">
        <f aca="false">E13*(1-Assumptions!$B$25)+F8</f>
        <v>0</v>
      </c>
      <c r="G13" s="18" t="n">
        <f aca="false">F13*(1-Assumptions!$B$25)+G8</f>
        <v>0</v>
      </c>
      <c r="H13" s="18" t="n">
        <f aca="false">G13*(1-Assumptions!$B$25)+H8</f>
        <v>0.333333333333333</v>
      </c>
      <c r="I13" s="18" t="n">
        <f aca="false">H13*(1-Assumptions!$B$25)+I8</f>
        <v>0.663752796348434</v>
      </c>
      <c r="J13" s="18" t="n">
        <f aca="false">I13*(1-Assumptions!$B$25)+J8</f>
        <v>0.991283860965998</v>
      </c>
      <c r="K13" s="18" t="n">
        <f aca="false">J13*(1-Assumptions!$B$25)+K8</f>
        <v>1.3159517764411</v>
      </c>
      <c r="L13" s="18" t="n">
        <f aca="false">K13*(1-Assumptions!$B$25)+L8</f>
        <v>1.63778157130964</v>
      </c>
      <c r="M13" s="18" t="n">
        <f aca="false">L13*(1-Assumptions!$B$25)+M8</f>
        <v>1.95679805531781</v>
      </c>
      <c r="N13" s="18" t="n">
        <f aca="false">M13*(1-Assumptions!$B$25)+N8</f>
        <v>2.27302582133465</v>
      </c>
      <c r="O13" s="18" t="n">
        <f aca="false">N13*(1-Assumptions!$B$25)+O8</f>
        <v>2.5864892472479</v>
      </c>
      <c r="P13" s="18" t="n">
        <f aca="false">O13*(1-Assumptions!$B$25)+P8</f>
        <v>2.89721249784328</v>
      </c>
      <c r="Q13" s="18" t="n">
        <f aca="false">P13*(1-Assumptions!$B$25)+Q8</f>
        <v>3.53855286000072</v>
      </c>
      <c r="R13" s="18" t="n">
        <f aca="false">Q13*(1-Assumptions!$B$25)+R8</f>
        <v>4.17428687422263</v>
      </c>
      <c r="S13" s="18" t="n">
        <f aca="false">R13*(1-Assumptions!$B$25)+S8</f>
        <v>4.80446354902155</v>
      </c>
      <c r="T13" s="18" t="n">
        <f aca="false">S13*(1-Assumptions!$B$25)+T8</f>
        <v>5.42913146449664</v>
      </c>
      <c r="U13" s="18" t="n">
        <f aca="false">T13*(1-Assumptions!$B$25)+U8</f>
        <v>6.04833877607878</v>
      </c>
      <c r="V13" s="18" t="n">
        <f aca="false">U13*(1-Assumptions!$B$25)+V8</f>
        <v>6.66213321824276</v>
      </c>
      <c r="W13" s="18" t="n">
        <f aca="false">V13*(1-Assumptions!$B$25)+W8</f>
        <v>7.27056210818719</v>
      </c>
      <c r="X13" s="18" t="n">
        <f aca="false">W13*(1-Assumptions!$B$25)+X8</f>
        <v>7.87367234948212</v>
      </c>
      <c r="Y13" s="18" t="n">
        <f aca="false">X13*(1-Assumptions!$B$25)+Y8</f>
        <v>8.47151043568486</v>
      </c>
      <c r="Z13" s="18" t="n">
        <f aca="false">Y13*(1-Assumptions!$B$25)+Z8</f>
        <v>9.39745578725745</v>
      </c>
      <c r="AA13" s="18" t="n">
        <f aca="false">Z13*(1-Assumptions!$B$25)+AA8</f>
        <v>10.3153068848013</v>
      </c>
      <c r="AB13" s="18" t="n">
        <f aca="false">AA13*(1-Assumptions!$B$25)+AB8</f>
        <v>11.225134485136</v>
      </c>
      <c r="AC13" s="18" t="n">
        <f aca="false">AB13*(1-Assumptions!$B$25)+AC8</f>
        <v>12.1270087265528</v>
      </c>
      <c r="AD13" s="18" t="n">
        <f aca="false">AC13*(1-Assumptions!$B$25)+AD8</f>
        <v>13.0209991342211</v>
      </c>
      <c r="AE13" s="18" t="n">
        <f aca="false">AD13*(1-Assumptions!$B$25)+AE8</f>
        <v>13.9071746255483</v>
      </c>
      <c r="AF13" s="18" t="n">
        <f aca="false">AE13*(1-Assumptions!$B$25)+AF8</f>
        <v>15.1189368488261</v>
      </c>
      <c r="AG13" s="18" t="n">
        <f aca="false">AF13*(1-Assumptions!$B$25)+AG8</f>
        <v>16.3201063181783</v>
      </c>
      <c r="AH13" s="18" t="n">
        <f aca="false">AG13*(1-Assumptions!$B$25)+AH8</f>
        <v>17.5107756313389</v>
      </c>
      <c r="AI13" s="18" t="n">
        <f aca="false">AH13*(1-Assumptions!$B$25)+AI8</f>
        <v>18.691036576588</v>
      </c>
      <c r="AJ13" s="18" t="n">
        <f aca="false">AI13*(1-Assumptions!$B$25)+AJ8</f>
        <v>19.8609801398288</v>
      </c>
      <c r="AK13" s="18" t="n">
        <f aca="false">AJ13*(1-Assumptions!$B$25)+AK8</f>
        <v>21.0206965116008</v>
      </c>
    </row>
    <row r="14" customFormat="false" ht="15" hidden="false" customHeight="false" outlineLevel="0" collapsed="false">
      <c r="A14" s="3" t="s">
        <v>220</v>
      </c>
      <c r="B14" s="18" t="n">
        <f aca="false">B9</f>
        <v>0</v>
      </c>
      <c r="C14" s="18" t="n">
        <f aca="false">B14*(1-Assumptions!$B$25)+C9</f>
        <v>0</v>
      </c>
      <c r="D14" s="18" t="n">
        <f aca="false">C14*(1-Assumptions!$B$25)+D9</f>
        <v>0</v>
      </c>
      <c r="E14" s="18" t="n">
        <f aca="false">D14*(1-Assumptions!$B$25)+E9</f>
        <v>0</v>
      </c>
      <c r="F14" s="18" t="n">
        <f aca="false">E14*(1-Assumptions!$B$25)+F9</f>
        <v>0</v>
      </c>
      <c r="G14" s="18" t="n">
        <f aca="false">F14*(1-Assumptions!$B$25)+G9</f>
        <v>0</v>
      </c>
      <c r="H14" s="18" t="n">
        <f aca="false">G14*(1-Assumptions!$B$25)+H9</f>
        <v>0</v>
      </c>
      <c r="I14" s="18" t="n">
        <f aca="false">H14*(1-Assumptions!$B$25)+I9</f>
        <v>0</v>
      </c>
      <c r="J14" s="18" t="n">
        <f aca="false">I14*(1-Assumptions!$B$25)+J9</f>
        <v>0</v>
      </c>
      <c r="K14" s="18" t="n">
        <f aca="false">J14*(1-Assumptions!$B$25)+K9</f>
        <v>0</v>
      </c>
      <c r="L14" s="18" t="n">
        <f aca="false">K14*(1-Assumptions!$B$25)+L9</f>
        <v>0</v>
      </c>
      <c r="M14" s="18" t="n">
        <f aca="false">L14*(1-Assumptions!$B$25)+M9</f>
        <v>0</v>
      </c>
      <c r="N14" s="18" t="n">
        <f aca="false">M14*(1-Assumptions!$B$25)+N9</f>
        <v>0</v>
      </c>
      <c r="O14" s="18" t="n">
        <f aca="false">N14*(1-Assumptions!$B$25)+O9</f>
        <v>0</v>
      </c>
      <c r="P14" s="18" t="n">
        <f aca="false">O14*(1-Assumptions!$B$25)+P9</f>
        <v>0</v>
      </c>
      <c r="Q14" s="18" t="n">
        <f aca="false">P14*(1-Assumptions!$B$25)+Q9</f>
        <v>0</v>
      </c>
      <c r="R14" s="18" t="n">
        <f aca="false">Q14*(1-Assumptions!$B$25)+R9</f>
        <v>0</v>
      </c>
      <c r="S14" s="18" t="n">
        <f aca="false">R14*(1-Assumptions!$B$25)+S9</f>
        <v>0</v>
      </c>
      <c r="T14" s="18" t="n">
        <f aca="false">S14*(1-Assumptions!$B$25)+T9</f>
        <v>0.333333333333333</v>
      </c>
      <c r="U14" s="18" t="n">
        <f aca="false">T14*(1-Assumptions!$B$25)+U9</f>
        <v>0.663752796348434</v>
      </c>
      <c r="V14" s="18" t="n">
        <f aca="false">U14*(1-Assumptions!$B$25)+V9</f>
        <v>0.991283860965998</v>
      </c>
      <c r="W14" s="18" t="n">
        <f aca="false">V14*(1-Assumptions!$B$25)+W9</f>
        <v>0.982618443107763</v>
      </c>
      <c r="X14" s="18" t="n">
        <f aca="false">W14*(1-Assumptions!$B$25)+X9</f>
        <v>0.974028774961206</v>
      </c>
      <c r="Y14" s="18" t="n">
        <f aca="false">X14*(1-Assumptions!$B$25)+Y9</f>
        <v>0.965514194351815</v>
      </c>
      <c r="Z14" s="18" t="n">
        <f aca="false">Y14*(1-Assumptions!$B$25)+Z9</f>
        <v>1.29040737822689</v>
      </c>
      <c r="AA14" s="18" t="n">
        <f aca="false">Z14*(1-Assumptions!$B$25)+AA9</f>
        <v>1.61246047228669</v>
      </c>
      <c r="AB14" s="18" t="n">
        <f aca="false">AA14*(1-Assumptions!$B$25)+AB9</f>
        <v>1.93169830349147</v>
      </c>
      <c r="AC14" s="18" t="n">
        <f aca="false">AB14*(1-Assumptions!$B$25)+AC9</f>
        <v>1.9148121484405</v>
      </c>
      <c r="AD14" s="18" t="n">
        <f aca="false">AC14*(1-Assumptions!$B$25)+AD9</f>
        <v>1.8980736055875</v>
      </c>
      <c r="AE14" s="18" t="n">
        <f aca="false">AD14*(1-Assumptions!$B$25)+AE9</f>
        <v>1.88148138456408</v>
      </c>
      <c r="AF14" s="18" t="n">
        <f aca="false">AE14*(1-Assumptions!$B$25)+AF9</f>
        <v>2.19836753961505</v>
      </c>
      <c r="AG14" s="18" t="n">
        <f aca="false">AF14*(1-Assumptions!$B$25)+AG9</f>
        <v>2.51248359918163</v>
      </c>
      <c r="AH14" s="18" t="n">
        <f aca="false">AG14*(1-Assumptions!$B$25)+AH9</f>
        <v>2.82385377836087</v>
      </c>
      <c r="AI14" s="18" t="n">
        <f aca="false">AH14*(1-Assumptions!$B$25)+AI9</f>
        <v>3.13250208057082</v>
      </c>
      <c r="AJ14" s="18" t="n">
        <f aca="false">AI14*(1-Assumptions!$B$25)+AJ9</f>
        <v>3.43845229940102</v>
      </c>
      <c r="AK14" s="18" t="n">
        <f aca="false">AJ14*(1-Assumptions!$B$25)+AK9</f>
        <v>3.74172802044671</v>
      </c>
    </row>
    <row r="15" customFormat="false" ht="15" hidden="false" customHeight="false" outlineLevel="0" collapsed="false">
      <c r="A15" s="4" t="s">
        <v>222</v>
      </c>
      <c r="B15" s="32" t="n">
        <f aca="false">SUM(B12:B14)</f>
        <v>0</v>
      </c>
      <c r="C15" s="32" t="n">
        <f aca="false">SUM(C12:C14)</f>
        <v>0</v>
      </c>
      <c r="D15" s="32" t="n">
        <f aca="false">SUM(D12:D14)</f>
        <v>0</v>
      </c>
      <c r="E15" s="32" t="n">
        <f aca="false">SUM(E12:E14)</f>
        <v>0.333333333333333</v>
      </c>
      <c r="F15" s="32" t="n">
        <f aca="false">SUM(F12:F14)</f>
        <v>0.663752796348434</v>
      </c>
      <c r="G15" s="32" t="n">
        <f aca="false">SUM(G12:G14)</f>
        <v>0.991283860965998</v>
      </c>
      <c r="H15" s="32" t="n">
        <f aca="false">SUM(H12:H14)</f>
        <v>1.64928510977443</v>
      </c>
      <c r="I15" s="32" t="n">
        <f aca="false">SUM(I12:I14)</f>
        <v>2.30153436765807</v>
      </c>
      <c r="J15" s="32" t="n">
        <f aca="false">SUM(J12:J14)</f>
        <v>2.94808191628381</v>
      </c>
      <c r="K15" s="32" t="n">
        <f aca="false">SUM(K12:K14)</f>
        <v>3.58897759777575</v>
      </c>
      <c r="L15" s="32" t="n">
        <f aca="false">SUM(L12:L14)</f>
        <v>4.22427081855754</v>
      </c>
      <c r="M15" s="32" t="n">
        <f aca="false">SUM(M12:M14)</f>
        <v>4.85401055316109</v>
      </c>
      <c r="N15" s="32" t="n">
        <f aca="false">SUM(N12:N14)</f>
        <v>5.81157868133537</v>
      </c>
      <c r="O15" s="32" t="n">
        <f aca="false">SUM(O12:O14)</f>
        <v>6.76077612147053</v>
      </c>
      <c r="P15" s="32" t="n">
        <f aca="false">SUM(P12:P14)</f>
        <v>7.70167604686483</v>
      </c>
      <c r="Q15" s="32" t="n">
        <f aca="false">SUM(Q12:Q14)</f>
        <v>8.96768432449736</v>
      </c>
      <c r="R15" s="32" t="n">
        <f aca="false">SUM(R12:R14)</f>
        <v>10.2226256503014</v>
      </c>
      <c r="S15" s="32" t="n">
        <f aca="false">SUM(S12:S14)</f>
        <v>11.4665967672643</v>
      </c>
      <c r="T15" s="32" t="n">
        <f aca="false">SUM(T12:T14)</f>
        <v>13.0330269060172</v>
      </c>
      <c r="U15" s="32" t="n">
        <f aca="false">SUM(U12:U14)</f>
        <v>14.5857639219093</v>
      </c>
      <c r="V15" s="32" t="n">
        <f aca="false">SUM(V12:V14)</f>
        <v>16.1249275148936</v>
      </c>
      <c r="W15" s="32" t="n">
        <f aca="false">SUM(W12:W14)</f>
        <v>17.3173030052191</v>
      </c>
      <c r="X15" s="32" t="n">
        <f aca="false">SUM(X12:X14)</f>
        <v>18.4992552128962</v>
      </c>
      <c r="Y15" s="32" t="n">
        <f aca="false">SUM(Y12:Y14)</f>
        <v>19.6708752542067</v>
      </c>
      <c r="Z15" s="32" t="n">
        <f aca="false">SUM(Z12:Z14)</f>
        <v>21.8322534489294</v>
      </c>
      <c r="AA15" s="32" t="n">
        <f aca="false">SUM(AA12:AA14)</f>
        <v>23.9747377163479</v>
      </c>
      <c r="AB15" s="32" t="n">
        <f aca="false">SUM(AB12:AB14)</f>
        <v>26.098493219824</v>
      </c>
      <c r="AC15" s="32" t="n">
        <f aca="false">SUM(AC12:AC14)</f>
        <v>27.8703503455925</v>
      </c>
      <c r="AD15" s="32" t="n">
        <f aca="false">SUM(AD12:AD14)</f>
        <v>29.6267185857002</v>
      </c>
      <c r="AE15" s="32" t="n">
        <f aca="false">SUM(AE12:AE14)</f>
        <v>31.3677333379598</v>
      </c>
      <c r="AF15" s="32" t="n">
        <f aca="false">SUM(AF12:AF14)</f>
        <v>33.7601954832553</v>
      </c>
      <c r="AG15" s="32" t="n">
        <f aca="false">SUM(AG12:AG14)</f>
        <v>36.1317436552529</v>
      </c>
      <c r="AH15" s="32" t="n">
        <f aca="false">SUM(AH12:AH14)</f>
        <v>38.4825606757705</v>
      </c>
      <c r="AI15" s="32" t="n">
        <f aca="false">SUM(AI12:AI14)</f>
        <v>41.1461611018024</v>
      </c>
      <c r="AJ15" s="32" t="n">
        <f aca="false">SUM(AJ12:AJ14)</f>
        <v>43.7864773691711</v>
      </c>
      <c r="AK15" s="32" t="n">
        <f aca="false">SUM(AK12:AK14)</f>
        <v>46.4037130189332</v>
      </c>
    </row>
    <row r="17" customFormat="false" ht="15" hidden="false" customHeight="false" outlineLevel="0" collapsed="false">
      <c r="A17" s="10" t="s">
        <v>223</v>
      </c>
    </row>
    <row r="18" customFormat="false" ht="15" hidden="false" customHeight="false" outlineLevel="0" collapsed="false">
      <c r="A18" s="3" t="s">
        <v>224</v>
      </c>
      <c r="B18" s="17" t="n">
        <f aca="false">(B7*Assumptions!$B$20+B8*Assumptions!$C$20+B9*Assumptions!$D$20)*Assumptions!$B$5</f>
        <v>0</v>
      </c>
      <c r="C18" s="17" t="n">
        <f aca="false">(C7*Assumptions!$B$20+C8*Assumptions!$C$20+C9*Assumptions!$D$20)*Assumptions!$B$5</f>
        <v>0</v>
      </c>
      <c r="D18" s="17" t="n">
        <f aca="false">(D7*Assumptions!$B$20+D8*Assumptions!$C$20+D9*Assumptions!$D$20)*Assumptions!$B$5</f>
        <v>0</v>
      </c>
      <c r="E18" s="17" t="n">
        <f aca="false">(E7*Assumptions!$B$20+E8*Assumptions!$C$20+E9*Assumptions!$D$20)*Assumptions!$B$5</f>
        <v>2107.95</v>
      </c>
      <c r="F18" s="17" t="n">
        <f aca="false">(F7*Assumptions!$B$20+F8*Assumptions!$C$20+F9*Assumptions!$D$20)*Assumptions!$B$5</f>
        <v>2107.95</v>
      </c>
      <c r="G18" s="17" t="n">
        <f aca="false">(G7*Assumptions!$B$20+G8*Assumptions!$C$20+G9*Assumptions!$D$20)*Assumptions!$B$5</f>
        <v>2107.95</v>
      </c>
      <c r="H18" s="17" t="n">
        <f aca="false">(H7*Assumptions!$B$20+H8*Assumptions!$C$20+H9*Assumptions!$D$20)*Assumptions!$B$5</f>
        <v>10667.0166666667</v>
      </c>
      <c r="I18" s="17" t="n">
        <f aca="false">(I7*Assumptions!$B$20+I8*Assumptions!$C$20+I9*Assumptions!$D$20)*Assumptions!$B$5</f>
        <v>10667.0166666667</v>
      </c>
      <c r="J18" s="17" t="n">
        <f aca="false">(J7*Assumptions!$B$20+J8*Assumptions!$C$20+J9*Assumptions!$D$20)*Assumptions!$B$5</f>
        <v>10667.0166666667</v>
      </c>
      <c r="K18" s="17" t="n">
        <f aca="false">(K7*Assumptions!$B$20+K8*Assumptions!$C$20+K9*Assumptions!$D$20)*Assumptions!$B$5</f>
        <v>10667.0166666667</v>
      </c>
      <c r="L18" s="17" t="n">
        <f aca="false">(L7*Assumptions!$B$20+L8*Assumptions!$C$20+L9*Assumptions!$D$20)*Assumptions!$B$5</f>
        <v>10667.0166666667</v>
      </c>
      <c r="M18" s="17" t="n">
        <f aca="false">(M7*Assumptions!$B$20+M8*Assumptions!$C$20+M9*Assumptions!$D$20)*Assumptions!$B$5</f>
        <v>10667.0166666667</v>
      </c>
      <c r="N18" s="17" t="n">
        <f aca="false">(N7*Assumptions!$B$20+N8*Assumptions!$C$20+N9*Assumptions!$D$20)*Assumptions!$B$5</f>
        <v>12774.9666666667</v>
      </c>
      <c r="O18" s="17" t="n">
        <f aca="false">(O7*Assumptions!$B$20+O8*Assumptions!$C$20+O9*Assumptions!$D$20)*Assumptions!$B$5</f>
        <v>12774.9666666667</v>
      </c>
      <c r="P18" s="17" t="n">
        <f aca="false">(P7*Assumptions!$B$20+P8*Assumptions!$C$20+P9*Assumptions!$D$20)*Assumptions!$B$5</f>
        <v>12774.9666666667</v>
      </c>
      <c r="Q18" s="17" t="n">
        <f aca="false">(Q7*Assumptions!$B$20+Q8*Assumptions!$C$20+Q9*Assumptions!$D$20)*Assumptions!$B$5</f>
        <v>21334.0333333333</v>
      </c>
      <c r="R18" s="17" t="n">
        <f aca="false">(R7*Assumptions!$B$20+R8*Assumptions!$C$20+R9*Assumptions!$D$20)*Assumptions!$B$5</f>
        <v>21334.0333333333</v>
      </c>
      <c r="S18" s="17" t="n">
        <f aca="false">(S7*Assumptions!$B$20+S8*Assumptions!$C$20+S9*Assumptions!$D$20)*Assumptions!$B$5</f>
        <v>21334.0333333333</v>
      </c>
      <c r="T18" s="17" t="n">
        <f aca="false">(T7*Assumptions!$B$20+T8*Assumptions!$C$20+T9*Assumptions!$D$20)*Assumptions!$B$5</f>
        <v>43567.3666666667</v>
      </c>
      <c r="U18" s="17" t="n">
        <f aca="false">(U7*Assumptions!$B$20+U8*Assumptions!$C$20+U9*Assumptions!$D$20)*Assumptions!$B$5</f>
        <v>43567.3666666667</v>
      </c>
      <c r="V18" s="17" t="n">
        <f aca="false">(V7*Assumptions!$B$20+V8*Assumptions!$C$20+V9*Assumptions!$D$20)*Assumptions!$B$5</f>
        <v>43567.3666666667</v>
      </c>
      <c r="W18" s="17" t="n">
        <f aca="false">(W7*Assumptions!$B$20+W8*Assumptions!$C$20+W9*Assumptions!$D$20)*Assumptions!$B$5</f>
        <v>21334.0333333333</v>
      </c>
      <c r="X18" s="17" t="n">
        <f aca="false">(X7*Assumptions!$B$20+X8*Assumptions!$C$20+X9*Assumptions!$D$20)*Assumptions!$B$5</f>
        <v>21334.0333333333</v>
      </c>
      <c r="Y18" s="17" t="n">
        <f aca="false">(Y7*Assumptions!$B$20+Y8*Assumptions!$C$20+Y9*Assumptions!$D$20)*Assumptions!$B$5</f>
        <v>21334.0333333333</v>
      </c>
      <c r="Z18" s="17" t="n">
        <f aca="false">(Z7*Assumptions!$B$20+Z8*Assumptions!$C$20+Z9*Assumptions!$D$20)*Assumptions!$B$5</f>
        <v>54234.3833333333</v>
      </c>
      <c r="AA18" s="17" t="n">
        <f aca="false">(AA7*Assumptions!$B$20+AA8*Assumptions!$C$20+AA9*Assumptions!$D$20)*Assumptions!$B$5</f>
        <v>54234.3833333333</v>
      </c>
      <c r="AB18" s="17" t="n">
        <f aca="false">(AB7*Assumptions!$B$20+AB8*Assumptions!$C$20+AB9*Assumptions!$D$20)*Assumptions!$B$5</f>
        <v>54234.3833333333</v>
      </c>
      <c r="AC18" s="17" t="n">
        <f aca="false">(AC7*Assumptions!$B$20+AC8*Assumptions!$C$20+AC9*Assumptions!$D$20)*Assumptions!$B$5</f>
        <v>32001.05</v>
      </c>
      <c r="AD18" s="17" t="n">
        <f aca="false">(AD7*Assumptions!$B$20+AD8*Assumptions!$C$20+AD9*Assumptions!$D$20)*Assumptions!$B$5</f>
        <v>32001.05</v>
      </c>
      <c r="AE18" s="17" t="n">
        <f aca="false">(AE7*Assumptions!$B$20+AE8*Assumptions!$C$20+AE9*Assumptions!$D$20)*Assumptions!$B$5</f>
        <v>32001.05</v>
      </c>
      <c r="AF18" s="17" t="n">
        <f aca="false">(AF7*Assumptions!$B$20+AF8*Assumptions!$C$20+AF9*Assumptions!$D$20)*Assumptions!$B$5</f>
        <v>62793.45</v>
      </c>
      <c r="AG18" s="17" t="n">
        <f aca="false">(AG7*Assumptions!$B$20+AG8*Assumptions!$C$20+AG9*Assumptions!$D$20)*Assumptions!$B$5</f>
        <v>62793.45</v>
      </c>
      <c r="AH18" s="17" t="n">
        <f aca="false">(AH7*Assumptions!$B$20+AH8*Assumptions!$C$20+AH9*Assumptions!$D$20)*Assumptions!$B$5</f>
        <v>62793.45</v>
      </c>
      <c r="AI18" s="17" t="n">
        <f aca="false">(AI7*Assumptions!$B$20+AI8*Assumptions!$C$20+AI9*Assumptions!$D$20)*Assumptions!$B$5</f>
        <v>64901.4</v>
      </c>
      <c r="AJ18" s="17" t="n">
        <f aca="false">(AJ7*Assumptions!$B$20+AJ8*Assumptions!$C$20+AJ9*Assumptions!$D$20)*Assumptions!$B$5</f>
        <v>64901.4</v>
      </c>
      <c r="AK18" s="17" t="n">
        <f aca="false">(AK7*Assumptions!$B$20+AK8*Assumptions!$C$20+AK9*Assumptions!$D$20)*Assumptions!$B$5</f>
        <v>64901.4</v>
      </c>
    </row>
    <row r="19" customFormat="false" ht="15" hidden="false" customHeight="false" outlineLevel="0" collapsed="false">
      <c r="A19" s="3" t="s">
        <v>225</v>
      </c>
      <c r="B19" s="17" t="n">
        <f aca="false">B7*Assumptions!$B$11+B8*Assumptions!$C$11+B9*Assumptions!$D$11</f>
        <v>0</v>
      </c>
      <c r="C19" s="17" t="n">
        <f aca="false">C7*Assumptions!$B$11+C8*Assumptions!$C$11+C9*Assumptions!$D$11</f>
        <v>0</v>
      </c>
      <c r="D19" s="17" t="n">
        <f aca="false">D7*Assumptions!$B$11+D8*Assumptions!$C$11+D9*Assumptions!$D$11</f>
        <v>0</v>
      </c>
      <c r="E19" s="17" t="n">
        <f aca="false">E7*Assumptions!$B$11+E8*Assumptions!$C$11+E9*Assumptions!$D$11</f>
        <v>1500</v>
      </c>
      <c r="F19" s="17" t="n">
        <f aca="false">F7*Assumptions!$B$11+F8*Assumptions!$C$11+F9*Assumptions!$D$11</f>
        <v>1500</v>
      </c>
      <c r="G19" s="17" t="n">
        <f aca="false">G7*Assumptions!$B$11+G8*Assumptions!$C$11+G9*Assumptions!$D$11</f>
        <v>1500</v>
      </c>
      <c r="H19" s="17" t="n">
        <f aca="false">H7*Assumptions!$B$11+H8*Assumptions!$C$11+H9*Assumptions!$D$11</f>
        <v>5500</v>
      </c>
      <c r="I19" s="17" t="n">
        <f aca="false">I7*Assumptions!$B$11+I8*Assumptions!$C$11+I9*Assumptions!$D$11</f>
        <v>5500</v>
      </c>
      <c r="J19" s="17" t="n">
        <f aca="false">J7*Assumptions!$B$11+J8*Assumptions!$C$11+J9*Assumptions!$D$11</f>
        <v>5500</v>
      </c>
      <c r="K19" s="17" t="n">
        <f aca="false">K7*Assumptions!$B$11+K8*Assumptions!$C$11+K9*Assumptions!$D$11</f>
        <v>5500</v>
      </c>
      <c r="L19" s="17" t="n">
        <f aca="false">L7*Assumptions!$B$11+L8*Assumptions!$C$11+L9*Assumptions!$D$11</f>
        <v>5500</v>
      </c>
      <c r="M19" s="17" t="n">
        <f aca="false">M7*Assumptions!$B$11+M8*Assumptions!$C$11+M9*Assumptions!$D$11</f>
        <v>5500</v>
      </c>
      <c r="N19" s="17" t="n">
        <f aca="false">N7*Assumptions!$B$11+N8*Assumptions!$C$11+N9*Assumptions!$D$11</f>
        <v>7000</v>
      </c>
      <c r="O19" s="17" t="n">
        <f aca="false">O7*Assumptions!$B$11+O8*Assumptions!$C$11+O9*Assumptions!$D$11</f>
        <v>7000</v>
      </c>
      <c r="P19" s="17" t="n">
        <f aca="false">P7*Assumptions!$B$11+P8*Assumptions!$C$11+P9*Assumptions!$D$11</f>
        <v>7000</v>
      </c>
      <c r="Q19" s="17" t="n">
        <f aca="false">Q7*Assumptions!$B$11+Q8*Assumptions!$C$11+Q9*Assumptions!$D$11</f>
        <v>11000</v>
      </c>
      <c r="R19" s="17" t="n">
        <f aca="false">R7*Assumptions!$B$11+R8*Assumptions!$C$11+R9*Assumptions!$D$11</f>
        <v>11000</v>
      </c>
      <c r="S19" s="17" t="n">
        <f aca="false">S7*Assumptions!$B$11+S8*Assumptions!$C$11+S9*Assumptions!$D$11</f>
        <v>11000</v>
      </c>
      <c r="T19" s="17" t="n">
        <f aca="false">T7*Assumptions!$B$11+T8*Assumptions!$C$11+T9*Assumptions!$D$11</f>
        <v>19333.3333333333</v>
      </c>
      <c r="U19" s="17" t="n">
        <f aca="false">U7*Assumptions!$B$11+U8*Assumptions!$C$11+U9*Assumptions!$D$11</f>
        <v>19333.3333333333</v>
      </c>
      <c r="V19" s="17" t="n">
        <f aca="false">V7*Assumptions!$B$11+V8*Assumptions!$C$11+V9*Assumptions!$D$11</f>
        <v>19333.3333333333</v>
      </c>
      <c r="W19" s="17" t="n">
        <f aca="false">W7*Assumptions!$B$11+W8*Assumptions!$C$11+W9*Assumptions!$D$11</f>
        <v>11000</v>
      </c>
      <c r="X19" s="17" t="n">
        <f aca="false">X7*Assumptions!$B$11+X8*Assumptions!$C$11+X9*Assumptions!$D$11</f>
        <v>11000</v>
      </c>
      <c r="Y19" s="17" t="n">
        <f aca="false">Y7*Assumptions!$B$11+Y8*Assumptions!$C$11+Y9*Assumptions!$D$11</f>
        <v>11000</v>
      </c>
      <c r="Z19" s="17" t="n">
        <f aca="false">Z7*Assumptions!$B$11+Z8*Assumptions!$C$11+Z9*Assumptions!$D$11</f>
        <v>24833.3333333333</v>
      </c>
      <c r="AA19" s="17" t="n">
        <f aca="false">AA7*Assumptions!$B$11+AA8*Assumptions!$C$11+AA9*Assumptions!$D$11</f>
        <v>24833.3333333333</v>
      </c>
      <c r="AB19" s="17" t="n">
        <f aca="false">AB7*Assumptions!$B$11+AB8*Assumptions!$C$11+AB9*Assumptions!$D$11</f>
        <v>24833.3333333333</v>
      </c>
      <c r="AC19" s="17" t="n">
        <f aca="false">AC7*Assumptions!$B$11+AC8*Assumptions!$C$11+AC9*Assumptions!$D$11</f>
        <v>16500</v>
      </c>
      <c r="AD19" s="17" t="n">
        <f aca="false">AD7*Assumptions!$B$11+AD8*Assumptions!$C$11+AD9*Assumptions!$D$11</f>
        <v>16500</v>
      </c>
      <c r="AE19" s="17" t="n">
        <f aca="false">AE7*Assumptions!$B$11+AE8*Assumptions!$C$11+AE9*Assumptions!$D$11</f>
        <v>16500</v>
      </c>
      <c r="AF19" s="17" t="n">
        <f aca="false">AF7*Assumptions!$B$11+AF8*Assumptions!$C$11+AF9*Assumptions!$D$11</f>
        <v>28833.3333333333</v>
      </c>
      <c r="AG19" s="17" t="n">
        <f aca="false">AG7*Assumptions!$B$11+AG8*Assumptions!$C$11+AG9*Assumptions!$D$11</f>
        <v>28833.3333333333</v>
      </c>
      <c r="AH19" s="17" t="n">
        <f aca="false">AH7*Assumptions!$B$11+AH8*Assumptions!$C$11+AH9*Assumptions!$D$11</f>
        <v>28833.3333333333</v>
      </c>
      <c r="AI19" s="17" t="n">
        <f aca="false">AI7*Assumptions!$B$11+AI8*Assumptions!$C$11+AI9*Assumptions!$D$11</f>
        <v>30333.3333333333</v>
      </c>
      <c r="AJ19" s="17" t="n">
        <f aca="false">AJ7*Assumptions!$B$11+AJ8*Assumptions!$C$11+AJ9*Assumptions!$D$11</f>
        <v>30333.3333333333</v>
      </c>
      <c r="AK19" s="17" t="n">
        <f aca="false">AK7*Assumptions!$B$11+AK8*Assumptions!$C$11+AK9*Assumptions!$D$11</f>
        <v>30333.3333333333</v>
      </c>
    </row>
    <row r="20" customFormat="false" ht="15" hidden="false" customHeight="false" outlineLevel="0" collapsed="false">
      <c r="A20" s="3" t="s">
        <v>226</v>
      </c>
      <c r="B20" s="17" t="n">
        <f aca="false">(B12*Assumptions!$B$12+B13*Assumptions!$C$12+B14*Assumptions!$D$12)*(1-IF(B$3=1,Assumptions!$B$26,0))</f>
        <v>0</v>
      </c>
      <c r="C20" s="17" t="n">
        <f aca="false">(C12*Assumptions!$B$12+C13*Assumptions!$C$12+C14*Assumptions!$D$12)*(1-IF(C$3=1,Assumptions!$B$26,0))</f>
        <v>0</v>
      </c>
      <c r="D20" s="17" t="n">
        <f aca="false">(D12*Assumptions!$B$12+D13*Assumptions!$C$12+D14*Assumptions!$D$12)*(1-IF(D$3=1,Assumptions!$B$26,0))</f>
        <v>0</v>
      </c>
      <c r="E20" s="17" t="n">
        <f aca="false">(E12*Assumptions!$B$12+E13*Assumptions!$C$12+E14*Assumptions!$D$12)*(1-IF(E$3=1,Assumptions!$B$26,0))</f>
        <v>350</v>
      </c>
      <c r="F20" s="17" t="n">
        <f aca="false">(F12*Assumptions!$B$12+F13*Assumptions!$C$12+F14*Assumptions!$D$12)*(1-IF(F$3=1,Assumptions!$B$26,0))</f>
        <v>696.940436165856</v>
      </c>
      <c r="G20" s="17" t="n">
        <f aca="false">(G12*Assumptions!$B$12+G13*Assumptions!$C$12+G14*Assumptions!$D$12)*(1-IF(G$3=1,Assumptions!$B$26,0))</f>
        <v>1040.8480540143</v>
      </c>
      <c r="H20" s="17" t="n">
        <f aca="false">(H12*Assumptions!$B$12+H13*Assumptions!$C$12+H14*Assumptions!$D$12)*(1-IF(H$3=1,Assumptions!$B$26,0))</f>
        <v>2315.08269859648</v>
      </c>
      <c r="I20" s="17" t="n">
        <f aca="false">(I12*Assumptions!$B$12+I13*Assumptions!$C$12+I14*Assumptions!$D$12)*(1-IF(I$3=1,Assumptions!$B$26,0))</f>
        <v>3578.17847965074</v>
      </c>
      <c r="J20" s="17" t="n">
        <f aca="false">(J12*Assumptions!$B$12+J13*Assumptions!$C$12+J14*Assumptions!$D$12)*(1-IF(J$3=1,Assumptions!$B$26,0))</f>
        <v>4830.2327687885</v>
      </c>
      <c r="K20" s="17" t="n">
        <f aca="false">(K12*Assumptions!$B$12+K13*Assumptions!$C$12+K14*Assumptions!$D$12)*(1-IF(K$3=1,Assumptions!$B$26,0))</f>
        <v>6071.34208643645</v>
      </c>
      <c r="L20" s="17" t="n">
        <f aca="false">(L12*Assumptions!$B$12+L13*Assumptions!$C$12+L14*Assumptions!$D$12)*(1-IF(L$3=1,Assumptions!$B$26,0))</f>
        <v>7301.60210927728</v>
      </c>
      <c r="M20" s="17" t="n">
        <f aca="false">(M12*Assumptions!$B$12+M13*Assumptions!$C$12+M14*Assumptions!$D$12)*(1-IF(M$3=1,Assumptions!$B$26,0))</f>
        <v>8521.10767762532</v>
      </c>
      <c r="N20" s="17" t="n">
        <f aca="false">(N12*Assumptions!$B$12+N13*Assumptions!$C$12+N14*Assumptions!$D$12)*(1-IF(N$3=1,Assumptions!$B$26,0))</f>
        <v>14399.9325753397</v>
      </c>
      <c r="O20" s="17" t="n">
        <f aca="false">(O12*Assumptions!$B$12+O13*Assumptions!$C$12+O14*Assumptions!$D$12)*(1-IF(O$3=1,Assumptions!$B$26,0))</f>
        <v>16607.3873003255</v>
      </c>
      <c r="P20" s="17" t="n">
        <f aca="false">(P12*Assumptions!$B$12+P13*Assumptions!$C$12+P14*Assumptions!$D$12)*(1-IF(P$3=1,Assumptions!$B$26,0))</f>
        <v>18795.5453149054</v>
      </c>
      <c r="Q20" s="17" t="n">
        <f aca="false">(Q12*Assumptions!$B$12+Q13*Assumptions!$C$12+Q14*Assumptions!$D$12)*(1-IF(Q$3=1,Assumptions!$B$26,0))</f>
        <v>22297.9086367478</v>
      </c>
      <c r="R20" s="17" t="n">
        <f aca="false">(R12*Assumptions!$B$12+R13*Assumptions!$C$12+R14*Assumptions!$D$12)*(1-IF(R$3=1,Assumptions!$B$26,0))</f>
        <v>25769.6556610087</v>
      </c>
      <c r="S20" s="17" t="n">
        <f aca="false">(S12*Assumptions!$B$12+S13*Assumptions!$C$12+S14*Assumptions!$D$12)*(1-IF(S$3=1,Assumptions!$B$26,0))</f>
        <v>29211.0540234503</v>
      </c>
      <c r="T20" s="17" t="n">
        <f aca="false">(T12*Assumptions!$B$12+T13*Assumptions!$C$12+T14*Assumptions!$D$12)*(1-IF(T$3=1,Assumptions!$B$26,0))</f>
        <v>35455.7023536007</v>
      </c>
      <c r="U20" s="17" t="n">
        <f aca="false">(U12*Assumptions!$B$12+U13*Assumptions!$C$12+U14*Assumptions!$D$12)*(1-IF(U$3=1,Assumptions!$B$26,0))</f>
        <v>41645.7623975</v>
      </c>
      <c r="V20" s="17" t="n">
        <f aca="false">(V12*Assumptions!$B$12+V13*Assumptions!$C$12+V14*Assumptions!$D$12)*(1-IF(V$3=1,Assumptions!$B$26,0))</f>
        <v>47781.7113447093</v>
      </c>
      <c r="W20" s="17" t="n">
        <f aca="false">(W12*Assumptions!$B$12+W13*Assumptions!$C$12+W14*Assumptions!$D$12)*(1-IF(W$3=1,Assumptions!$B$26,0))</f>
        <v>51030.6888800509</v>
      </c>
      <c r="X20" s="17" t="n">
        <f aca="false">(X12*Assumptions!$B$12+X13*Assumptions!$C$12+X14*Assumptions!$D$12)*(1-IF(X$3=1,Assumptions!$B$26,0))</f>
        <v>54251.265117778</v>
      </c>
      <c r="Y20" s="17" t="n">
        <f aca="false">(Y12*Assumptions!$B$12+Y13*Assumptions!$C$12+Y14*Assumptions!$D$12)*(1-IF(Y$3=1,Assumptions!$B$26,0))</f>
        <v>57443.6883309849</v>
      </c>
      <c r="Z20" s="17" t="n">
        <f aca="false">(Z12*Assumptions!$B$12+Z13*Assumptions!$C$12+Z14*Assumptions!$D$12)*(1-IF(Z$3=1,Assumptions!$B$26,0))</f>
        <v>65274.871289126</v>
      </c>
      <c r="AA20" s="17" t="n">
        <f aca="false">(AA12*Assumptions!$B$12+AA13*Assumptions!$C$12+AA14*Assumptions!$D$12)*(1-IF(AA$3=1,Assumptions!$B$26,0))</f>
        <v>73037.5970925318</v>
      </c>
      <c r="AB20" s="17" t="n">
        <f aca="false">(AB12*Assumptions!$B$12+AB13*Assumptions!$C$12+AB14*Assumptions!$D$12)*(1-IF(AB$3=1,Assumptions!$B$26,0))</f>
        <v>80732.4641670164</v>
      </c>
      <c r="AC20" s="17" t="n">
        <f aca="false">(AC12*Assumptions!$B$12+AC13*Assumptions!$C$12+AC14*Assumptions!$D$12)*(1-IF(AC$3=1,Assumptions!$B$26,0))</f>
        <v>85526.7323738543</v>
      </c>
      <c r="AD20" s="17" t="n">
        <f aca="false">(AD12*Assumptions!$B$12+AD13*Assumptions!$C$12+AD14*Assumptions!$D$12)*(1-IF(AD$3=1,Assumptions!$B$26,0))</f>
        <v>90279.0909532156</v>
      </c>
      <c r="AE20" s="17" t="n">
        <f aca="false">(AE12*Assumptions!$B$12+AE13*Assumptions!$C$12+AE14*Assumptions!$D$12)*(1-IF(AE$3=1,Assumptions!$B$26,0))</f>
        <v>94989.9062627589</v>
      </c>
      <c r="AF20" s="17" t="n">
        <f aca="false">(AF12*Assumptions!$B$12+AF13*Assumptions!$C$12+AF14*Assumptions!$D$12)*(1-IF(AF$3=1,Assumptions!$B$26,0))</f>
        <v>103826.208124253</v>
      </c>
      <c r="AG20" s="17" t="n">
        <f aca="false">(AG12*Assumptions!$B$12+AG13*Assumptions!$C$12+AG14*Assumptions!$D$12)*(1-IF(AG$3=1,Assumptions!$B$26,0))</f>
        <v>112585.266472597</v>
      </c>
      <c r="AH20" s="17" t="n">
        <f aca="false">(AH12*Assumptions!$B$12+AH13*Assumptions!$C$12+AH14*Assumptions!$D$12)*(1-IF(AH$3=1,Assumptions!$B$26,0))</f>
        <v>121267.756540529</v>
      </c>
      <c r="AI20" s="17" t="n">
        <f aca="false">(AI12*Assumptions!$B$12+AI13*Assumptions!$C$12+AI14*Assumptions!$D$12)*(1-IF(AI$3=1,Assumptions!$B$26,0))</f>
        <v>130374.347658169</v>
      </c>
      <c r="AJ20" s="17" t="n">
        <f aca="false">(AJ12*Assumptions!$B$12+AJ13*Assumptions!$C$12+AJ14*Assumptions!$D$12)*(1-IF(AJ$3=1,Assumptions!$B$26,0))</f>
        <v>139401.332499136</v>
      </c>
      <c r="AK20" s="17" t="n">
        <f aca="false">(AK12*Assumptions!$B$12+AK13*Assumptions!$C$12+AK14*Assumptions!$D$12)*(1-IF(AK$3=1,Assumptions!$B$26,0))</f>
        <v>148349.406950529</v>
      </c>
    </row>
    <row r="21" customFormat="false" ht="15" hidden="false" customHeight="false" outlineLevel="0" collapsed="false">
      <c r="A21" s="4" t="s">
        <v>35</v>
      </c>
      <c r="B21" s="12" t="n">
        <f aca="false">SUM(B18:B20)</f>
        <v>0</v>
      </c>
      <c r="C21" s="12" t="n">
        <f aca="false">SUM(C18:C20)</f>
        <v>0</v>
      </c>
      <c r="D21" s="12" t="n">
        <f aca="false">SUM(D18:D20)</f>
        <v>0</v>
      </c>
      <c r="E21" s="12" t="n">
        <f aca="false">SUM(E18:E20)</f>
        <v>3957.95</v>
      </c>
      <c r="F21" s="12" t="n">
        <f aca="false">SUM(F18:F20)</f>
        <v>4304.89043616586</v>
      </c>
      <c r="G21" s="12" t="n">
        <f aca="false">SUM(G18:G20)</f>
        <v>4648.7980540143</v>
      </c>
      <c r="H21" s="12" t="n">
        <f aca="false">SUM(H18:H20)</f>
        <v>18482.0993652632</v>
      </c>
      <c r="I21" s="12" t="n">
        <f aca="false">SUM(I18:I20)</f>
        <v>19745.1951463174</v>
      </c>
      <c r="J21" s="12" t="n">
        <f aca="false">SUM(J18:J20)</f>
        <v>20997.2494354552</v>
      </c>
      <c r="K21" s="12" t="n">
        <f aca="false">SUM(K18:K20)</f>
        <v>22238.3587531031</v>
      </c>
      <c r="L21" s="12" t="n">
        <f aca="false">SUM(L18:L20)</f>
        <v>23468.618775944</v>
      </c>
      <c r="M21" s="12" t="n">
        <f aca="false">SUM(M18:M20)</f>
        <v>24688.124344292</v>
      </c>
      <c r="N21" s="12" t="n">
        <f aca="false">SUM(N18:N20)</f>
        <v>34174.8992420063</v>
      </c>
      <c r="O21" s="12" t="n">
        <f aca="false">SUM(O18:O20)</f>
        <v>36382.3539669922</v>
      </c>
      <c r="P21" s="12" t="n">
        <f aca="false">SUM(P18:P20)</f>
        <v>38570.5119815721</v>
      </c>
      <c r="Q21" s="12" t="n">
        <f aca="false">SUM(Q18:Q20)</f>
        <v>54631.9419700812</v>
      </c>
      <c r="R21" s="12" t="n">
        <f aca="false">SUM(R18:R20)</f>
        <v>58103.688994342</v>
      </c>
      <c r="S21" s="12" t="n">
        <f aca="false">SUM(S18:S20)</f>
        <v>61545.0873567837</v>
      </c>
      <c r="T21" s="12" t="n">
        <f aca="false">SUM(T18:T20)</f>
        <v>98356.4023536007</v>
      </c>
      <c r="U21" s="12" t="n">
        <f aca="false">SUM(U18:U20)</f>
        <v>104546.4623975</v>
      </c>
      <c r="V21" s="12" t="n">
        <f aca="false">SUM(V18:V20)</f>
        <v>110682.411344709</v>
      </c>
      <c r="W21" s="12" t="n">
        <f aca="false">SUM(W18:W20)</f>
        <v>83364.7222133842</v>
      </c>
      <c r="X21" s="12" t="n">
        <f aca="false">SUM(X18:X20)</f>
        <v>86585.2984511113</v>
      </c>
      <c r="Y21" s="12" t="n">
        <f aca="false">SUM(Y18:Y20)</f>
        <v>89777.7216643183</v>
      </c>
      <c r="Z21" s="12" t="n">
        <f aca="false">SUM(Z18:Z20)</f>
        <v>144342.587955793</v>
      </c>
      <c r="AA21" s="12" t="n">
        <f aca="false">SUM(AA18:AA20)</f>
        <v>152105.313759199</v>
      </c>
      <c r="AB21" s="12" t="n">
        <f aca="false">SUM(AB18:AB20)</f>
        <v>159800.180833683</v>
      </c>
      <c r="AC21" s="12" t="n">
        <f aca="false">SUM(AC18:AC20)</f>
        <v>134027.782373854</v>
      </c>
      <c r="AD21" s="12" t="n">
        <f aca="false">SUM(AD18:AD20)</f>
        <v>138780.140953216</v>
      </c>
      <c r="AE21" s="12" t="n">
        <f aca="false">SUM(AE18:AE20)</f>
        <v>143490.956262759</v>
      </c>
      <c r="AF21" s="12" t="n">
        <f aca="false">SUM(AF18:AF20)</f>
        <v>195452.991457587</v>
      </c>
      <c r="AG21" s="12" t="n">
        <f aca="false">SUM(AG18:AG20)</f>
        <v>204212.04980593</v>
      </c>
      <c r="AH21" s="12" t="n">
        <f aca="false">SUM(AH18:AH20)</f>
        <v>212894.539873862</v>
      </c>
      <c r="AI21" s="12" t="n">
        <f aca="false">SUM(AI18:AI20)</f>
        <v>225609.080991503</v>
      </c>
      <c r="AJ21" s="12" t="n">
        <f aca="false">SUM(AJ18:AJ20)</f>
        <v>234636.065832469</v>
      </c>
      <c r="AK21" s="12" t="n">
        <f aca="false">SUM(AK18:AK20)</f>
        <v>243584.140283862</v>
      </c>
    </row>
    <row r="23" customFormat="false" ht="15" hidden="false" customHeight="false" outlineLevel="0" collapsed="false">
      <c r="A23" s="10" t="s">
        <v>227</v>
      </c>
    </row>
    <row r="24" customFormat="false" ht="15" hidden="false" customHeight="false" outlineLevel="0" collapsed="false">
      <c r="A24" s="3" t="s">
        <v>228</v>
      </c>
      <c r="B24" s="17" t="n">
        <f aca="false">(B7*Assumptions!$B$14+B8*Assumptions!$C$14+B9*Assumptions!$D$14)*Assumptions!$B$5</f>
        <v>0</v>
      </c>
      <c r="C24" s="17" t="n">
        <f aca="false">(C7*Assumptions!$B$14+C8*Assumptions!$C$14+C9*Assumptions!$D$14)*Assumptions!$B$5</f>
        <v>0</v>
      </c>
      <c r="D24" s="17" t="n">
        <f aca="false">(D7*Assumptions!$B$14+D8*Assumptions!$C$14+D9*Assumptions!$D$14)*Assumptions!$B$5</f>
        <v>0</v>
      </c>
      <c r="E24" s="17" t="n">
        <f aca="false">(E7*Assumptions!$B$14+E8*Assumptions!$C$14+E9*Assumptions!$D$14)*Assumptions!$B$5</f>
        <v>1833</v>
      </c>
      <c r="F24" s="17" t="n">
        <f aca="false">(F7*Assumptions!$B$14+F8*Assumptions!$C$14+F9*Assumptions!$D$14)*Assumptions!$B$5</f>
        <v>1833</v>
      </c>
      <c r="G24" s="17" t="n">
        <f aca="false">(G7*Assumptions!$B$14+G8*Assumptions!$C$14+G9*Assumptions!$D$14)*Assumptions!$B$5</f>
        <v>1833</v>
      </c>
      <c r="H24" s="17" t="n">
        <f aca="false">(H7*Assumptions!$B$14+H8*Assumptions!$C$14+H9*Assumptions!$D$14)*Assumptions!$B$5</f>
        <v>9275.66666666667</v>
      </c>
      <c r="I24" s="17" t="n">
        <f aca="false">(I7*Assumptions!$B$14+I8*Assumptions!$C$14+I9*Assumptions!$D$14)*Assumptions!$B$5</f>
        <v>9275.66666666667</v>
      </c>
      <c r="J24" s="17" t="n">
        <f aca="false">(J7*Assumptions!$B$14+J8*Assumptions!$C$14+J9*Assumptions!$D$14)*Assumptions!$B$5</f>
        <v>9275.66666666667</v>
      </c>
      <c r="K24" s="17" t="n">
        <f aca="false">(K7*Assumptions!$B$14+K8*Assumptions!$C$14+K9*Assumptions!$D$14)*Assumptions!$B$5</f>
        <v>9275.66666666667</v>
      </c>
      <c r="L24" s="17" t="n">
        <f aca="false">(L7*Assumptions!$B$14+L8*Assumptions!$C$14+L9*Assumptions!$D$14)*Assumptions!$B$5</f>
        <v>9275.66666666667</v>
      </c>
      <c r="M24" s="17" t="n">
        <f aca="false">(M7*Assumptions!$B$14+M8*Assumptions!$C$14+M9*Assumptions!$D$14)*Assumptions!$B$5</f>
        <v>9275.66666666667</v>
      </c>
      <c r="N24" s="17" t="n">
        <f aca="false">(N7*Assumptions!$B$14+N8*Assumptions!$C$14+N9*Assumptions!$D$14)*Assumptions!$B$5</f>
        <v>11108.6666666667</v>
      </c>
      <c r="O24" s="17" t="n">
        <f aca="false">(O7*Assumptions!$B$14+O8*Assumptions!$C$14+O9*Assumptions!$D$14)*Assumptions!$B$5</f>
        <v>11108.6666666667</v>
      </c>
      <c r="P24" s="17" t="n">
        <f aca="false">(P7*Assumptions!$B$14+P8*Assumptions!$C$14+P9*Assumptions!$D$14)*Assumptions!$B$5</f>
        <v>11108.6666666667</v>
      </c>
      <c r="Q24" s="17" t="n">
        <f aca="false">(Q7*Assumptions!$B$14+Q8*Assumptions!$C$14+Q9*Assumptions!$D$14)*Assumptions!$B$5</f>
        <v>18551.3333333333</v>
      </c>
      <c r="R24" s="17" t="n">
        <f aca="false">(R7*Assumptions!$B$14+R8*Assumptions!$C$14+R9*Assumptions!$D$14)*Assumptions!$B$5</f>
        <v>18551.3333333333</v>
      </c>
      <c r="S24" s="17" t="n">
        <f aca="false">(S7*Assumptions!$B$14+S8*Assumptions!$C$14+S9*Assumptions!$D$14)*Assumptions!$B$5</f>
        <v>18551.3333333333</v>
      </c>
      <c r="T24" s="17" t="n">
        <f aca="false">(T7*Assumptions!$B$14+T8*Assumptions!$C$14+T9*Assumptions!$D$14)*Assumptions!$B$5</f>
        <v>37884.6666666667</v>
      </c>
      <c r="U24" s="17" t="n">
        <f aca="false">(U7*Assumptions!$B$14+U8*Assumptions!$C$14+U9*Assumptions!$D$14)*Assumptions!$B$5</f>
        <v>37884.6666666667</v>
      </c>
      <c r="V24" s="17" t="n">
        <f aca="false">(V7*Assumptions!$B$14+V8*Assumptions!$C$14+V9*Assumptions!$D$14)*Assumptions!$B$5</f>
        <v>37884.6666666667</v>
      </c>
      <c r="W24" s="17" t="n">
        <f aca="false">(W7*Assumptions!$B$14+W8*Assumptions!$C$14+W9*Assumptions!$D$14)*Assumptions!$B$5</f>
        <v>18551.3333333333</v>
      </c>
      <c r="X24" s="17" t="n">
        <f aca="false">(X7*Assumptions!$B$14+X8*Assumptions!$C$14+X9*Assumptions!$D$14)*Assumptions!$B$5</f>
        <v>18551.3333333333</v>
      </c>
      <c r="Y24" s="17" t="n">
        <f aca="false">(Y7*Assumptions!$B$14+Y8*Assumptions!$C$14+Y9*Assumptions!$D$14)*Assumptions!$B$5</f>
        <v>18551.3333333333</v>
      </c>
      <c r="Z24" s="17" t="n">
        <f aca="false">(Z7*Assumptions!$B$14+Z8*Assumptions!$C$14+Z9*Assumptions!$D$14)*Assumptions!$B$5</f>
        <v>47160.3333333333</v>
      </c>
      <c r="AA24" s="17" t="n">
        <f aca="false">(AA7*Assumptions!$B$14+AA8*Assumptions!$C$14+AA9*Assumptions!$D$14)*Assumptions!$B$5</f>
        <v>47160.3333333333</v>
      </c>
      <c r="AB24" s="17" t="n">
        <f aca="false">(AB7*Assumptions!$B$14+AB8*Assumptions!$C$14+AB9*Assumptions!$D$14)*Assumptions!$B$5</f>
        <v>47160.3333333333</v>
      </c>
      <c r="AC24" s="17" t="n">
        <f aca="false">(AC7*Assumptions!$B$14+AC8*Assumptions!$C$14+AC9*Assumptions!$D$14)*Assumptions!$B$5</f>
        <v>27827</v>
      </c>
      <c r="AD24" s="17" t="n">
        <f aca="false">(AD7*Assumptions!$B$14+AD8*Assumptions!$C$14+AD9*Assumptions!$D$14)*Assumptions!$B$5</f>
        <v>27827</v>
      </c>
      <c r="AE24" s="17" t="n">
        <f aca="false">(AE7*Assumptions!$B$14+AE8*Assumptions!$C$14+AE9*Assumptions!$D$14)*Assumptions!$B$5</f>
        <v>27827</v>
      </c>
      <c r="AF24" s="17" t="n">
        <f aca="false">(AF7*Assumptions!$B$14+AF8*Assumptions!$C$14+AF9*Assumptions!$D$14)*Assumptions!$B$5</f>
        <v>54603</v>
      </c>
      <c r="AG24" s="17" t="n">
        <f aca="false">(AG7*Assumptions!$B$14+AG8*Assumptions!$C$14+AG9*Assumptions!$D$14)*Assumptions!$B$5</f>
        <v>54603</v>
      </c>
      <c r="AH24" s="17" t="n">
        <f aca="false">(AH7*Assumptions!$B$14+AH8*Assumptions!$C$14+AH9*Assumptions!$D$14)*Assumptions!$B$5</f>
        <v>54603</v>
      </c>
      <c r="AI24" s="17" t="n">
        <f aca="false">(AI7*Assumptions!$B$14+AI8*Assumptions!$C$14+AI9*Assumptions!$D$14)*Assumptions!$B$5</f>
        <v>56436</v>
      </c>
      <c r="AJ24" s="17" t="n">
        <f aca="false">(AJ7*Assumptions!$B$14+AJ8*Assumptions!$C$14+AJ9*Assumptions!$D$14)*Assumptions!$B$5</f>
        <v>56436</v>
      </c>
      <c r="AK24" s="17" t="n">
        <f aca="false">(AK7*Assumptions!$B$14+AK8*Assumptions!$C$14+AK9*Assumptions!$D$14)*Assumptions!$B$5</f>
        <v>56436</v>
      </c>
    </row>
    <row r="25" customFormat="false" ht="15" hidden="false" customHeight="false" outlineLevel="0" collapsed="false">
      <c r="A25" s="3" t="s">
        <v>229</v>
      </c>
      <c r="B25" s="17" t="n">
        <f aca="false">B7*(Assumptions!$B$15*Assumptions!$B$23+Assumptions!$B$16)+B8*(Assumptions!$C$15*Assumptions!$B$23+Assumptions!$C$16)+B9*(Assumptions!$D$15*Assumptions!$B$23+Assumptions!$D$16)</f>
        <v>0</v>
      </c>
      <c r="C25" s="17" t="n">
        <f aca="false">C7*(Assumptions!$B$15*Assumptions!$B$23+Assumptions!$B$16)+C8*(Assumptions!$C$15*Assumptions!$B$23+Assumptions!$C$16)+C9*(Assumptions!$D$15*Assumptions!$B$23+Assumptions!$D$16)</f>
        <v>0</v>
      </c>
      <c r="D25" s="17" t="n">
        <f aca="false">D7*(Assumptions!$B$15*Assumptions!$B$23+Assumptions!$B$16)+D8*(Assumptions!$C$15*Assumptions!$B$23+Assumptions!$C$16)+D9*(Assumptions!$D$15*Assumptions!$B$23+Assumptions!$D$16)</f>
        <v>0</v>
      </c>
      <c r="E25" s="17" t="n">
        <f aca="false">E7*(Assumptions!$B$15*Assumptions!$B$23+Assumptions!$B$16)+E8*(Assumptions!$C$15*Assumptions!$B$23+Assumptions!$C$16)+E9*(Assumptions!$D$15*Assumptions!$B$23+Assumptions!$D$16)</f>
        <v>733.333333333333</v>
      </c>
      <c r="F25" s="17" t="n">
        <f aca="false">F7*(Assumptions!$B$15*Assumptions!$B$23+Assumptions!$B$16)+F8*(Assumptions!$C$15*Assumptions!$B$23+Assumptions!$C$16)+F9*(Assumptions!$D$15*Assumptions!$B$23+Assumptions!$D$16)</f>
        <v>733.333333333333</v>
      </c>
      <c r="G25" s="17" t="n">
        <f aca="false">G7*(Assumptions!$B$15*Assumptions!$B$23+Assumptions!$B$16)+G8*(Assumptions!$C$15*Assumptions!$B$23+Assumptions!$C$16)+G9*(Assumptions!$D$15*Assumptions!$B$23+Assumptions!$D$16)</f>
        <v>733.333333333333</v>
      </c>
      <c r="H25" s="17" t="n">
        <f aca="false">H7*(Assumptions!$B$15*Assumptions!$B$23+Assumptions!$B$16)+H8*(Assumptions!$C$15*Assumptions!$B$23+Assumptions!$C$16)+H9*(Assumptions!$D$15*Assumptions!$B$23+Assumptions!$D$16)</f>
        <v>2233.33333333333</v>
      </c>
      <c r="I25" s="17" t="n">
        <f aca="false">I7*(Assumptions!$B$15*Assumptions!$B$23+Assumptions!$B$16)+I8*(Assumptions!$C$15*Assumptions!$B$23+Assumptions!$C$16)+I9*(Assumptions!$D$15*Assumptions!$B$23+Assumptions!$D$16)</f>
        <v>2233.33333333333</v>
      </c>
      <c r="J25" s="17" t="n">
        <f aca="false">J7*(Assumptions!$B$15*Assumptions!$B$23+Assumptions!$B$16)+J8*(Assumptions!$C$15*Assumptions!$B$23+Assumptions!$C$16)+J9*(Assumptions!$D$15*Assumptions!$B$23+Assumptions!$D$16)</f>
        <v>2233.33333333333</v>
      </c>
      <c r="K25" s="17" t="n">
        <f aca="false">K7*(Assumptions!$B$15*Assumptions!$B$23+Assumptions!$B$16)+K8*(Assumptions!$C$15*Assumptions!$B$23+Assumptions!$C$16)+K9*(Assumptions!$D$15*Assumptions!$B$23+Assumptions!$D$16)</f>
        <v>2233.33333333333</v>
      </c>
      <c r="L25" s="17" t="n">
        <f aca="false">L7*(Assumptions!$B$15*Assumptions!$B$23+Assumptions!$B$16)+L8*(Assumptions!$C$15*Assumptions!$B$23+Assumptions!$C$16)+L9*(Assumptions!$D$15*Assumptions!$B$23+Assumptions!$D$16)</f>
        <v>2233.33333333333</v>
      </c>
      <c r="M25" s="17" t="n">
        <f aca="false">M7*(Assumptions!$B$15*Assumptions!$B$23+Assumptions!$B$16)+M8*(Assumptions!$C$15*Assumptions!$B$23+Assumptions!$C$16)+M9*(Assumptions!$D$15*Assumptions!$B$23+Assumptions!$D$16)</f>
        <v>2233.33333333333</v>
      </c>
      <c r="N25" s="17" t="n">
        <f aca="false">N7*(Assumptions!$B$15*Assumptions!$B$23+Assumptions!$B$16)+N8*(Assumptions!$C$15*Assumptions!$B$23+Assumptions!$C$16)+N9*(Assumptions!$D$15*Assumptions!$B$23+Assumptions!$D$16)</f>
        <v>2966.66666666667</v>
      </c>
      <c r="O25" s="17" t="n">
        <f aca="false">O7*(Assumptions!$B$15*Assumptions!$B$23+Assumptions!$B$16)+O8*(Assumptions!$C$15*Assumptions!$B$23+Assumptions!$C$16)+O9*(Assumptions!$D$15*Assumptions!$B$23+Assumptions!$D$16)</f>
        <v>2966.66666666667</v>
      </c>
      <c r="P25" s="17" t="n">
        <f aca="false">P7*(Assumptions!$B$15*Assumptions!$B$23+Assumptions!$B$16)+P8*(Assumptions!$C$15*Assumptions!$B$23+Assumptions!$C$16)+P9*(Assumptions!$D$15*Assumptions!$B$23+Assumptions!$D$16)</f>
        <v>2966.66666666667</v>
      </c>
      <c r="Q25" s="17" t="n">
        <f aca="false">Q7*(Assumptions!$B$15*Assumptions!$B$23+Assumptions!$B$16)+Q8*(Assumptions!$C$15*Assumptions!$B$23+Assumptions!$C$16)+Q9*(Assumptions!$D$15*Assumptions!$B$23+Assumptions!$D$16)</f>
        <v>4466.66666666667</v>
      </c>
      <c r="R25" s="17" t="n">
        <f aca="false">R7*(Assumptions!$B$15*Assumptions!$B$23+Assumptions!$B$16)+R8*(Assumptions!$C$15*Assumptions!$B$23+Assumptions!$C$16)+R9*(Assumptions!$D$15*Assumptions!$B$23+Assumptions!$D$16)</f>
        <v>4466.66666666667</v>
      </c>
      <c r="S25" s="17" t="n">
        <f aca="false">S7*(Assumptions!$B$15*Assumptions!$B$23+Assumptions!$B$16)+S8*(Assumptions!$C$15*Assumptions!$B$23+Assumptions!$C$16)+S9*(Assumptions!$D$15*Assumptions!$B$23+Assumptions!$D$16)</f>
        <v>4466.66666666667</v>
      </c>
      <c r="T25" s="17" t="n">
        <f aca="false">T7*(Assumptions!$B$15*Assumptions!$B$23+Assumptions!$B$16)+T8*(Assumptions!$C$15*Assumptions!$B$23+Assumptions!$C$16)+T9*(Assumptions!$D$15*Assumptions!$B$23+Assumptions!$D$16)</f>
        <v>8300</v>
      </c>
      <c r="U25" s="17" t="n">
        <f aca="false">U7*(Assumptions!$B$15*Assumptions!$B$23+Assumptions!$B$16)+U8*(Assumptions!$C$15*Assumptions!$B$23+Assumptions!$C$16)+U9*(Assumptions!$D$15*Assumptions!$B$23+Assumptions!$D$16)</f>
        <v>8300</v>
      </c>
      <c r="V25" s="17" t="n">
        <f aca="false">V7*(Assumptions!$B$15*Assumptions!$B$23+Assumptions!$B$16)+V8*(Assumptions!$C$15*Assumptions!$B$23+Assumptions!$C$16)+V9*(Assumptions!$D$15*Assumptions!$B$23+Assumptions!$D$16)</f>
        <v>8300</v>
      </c>
      <c r="W25" s="17" t="n">
        <f aca="false">W7*(Assumptions!$B$15*Assumptions!$B$23+Assumptions!$B$16)+W8*(Assumptions!$C$15*Assumptions!$B$23+Assumptions!$C$16)+W9*(Assumptions!$D$15*Assumptions!$B$23+Assumptions!$D$16)</f>
        <v>4466.66666666667</v>
      </c>
      <c r="X25" s="17" t="n">
        <f aca="false">X7*(Assumptions!$B$15*Assumptions!$B$23+Assumptions!$B$16)+X8*(Assumptions!$C$15*Assumptions!$B$23+Assumptions!$C$16)+X9*(Assumptions!$D$15*Assumptions!$B$23+Assumptions!$D$16)</f>
        <v>4466.66666666667</v>
      </c>
      <c r="Y25" s="17" t="n">
        <f aca="false">Y7*(Assumptions!$B$15*Assumptions!$B$23+Assumptions!$B$16)+Y8*(Assumptions!$C$15*Assumptions!$B$23+Assumptions!$C$16)+Y9*(Assumptions!$D$15*Assumptions!$B$23+Assumptions!$D$16)</f>
        <v>4466.66666666667</v>
      </c>
      <c r="Z25" s="17" t="n">
        <f aca="false">Z7*(Assumptions!$B$15*Assumptions!$B$23+Assumptions!$B$16)+Z8*(Assumptions!$C$15*Assumptions!$B$23+Assumptions!$C$16)+Z9*(Assumptions!$D$15*Assumptions!$B$23+Assumptions!$D$16)</f>
        <v>10533.3333333333</v>
      </c>
      <c r="AA25" s="17" t="n">
        <f aca="false">AA7*(Assumptions!$B$15*Assumptions!$B$23+Assumptions!$B$16)+AA8*(Assumptions!$C$15*Assumptions!$B$23+Assumptions!$C$16)+AA9*(Assumptions!$D$15*Assumptions!$B$23+Assumptions!$D$16)</f>
        <v>10533.3333333333</v>
      </c>
      <c r="AB25" s="17" t="n">
        <f aca="false">AB7*(Assumptions!$B$15*Assumptions!$B$23+Assumptions!$B$16)+AB8*(Assumptions!$C$15*Assumptions!$B$23+Assumptions!$C$16)+AB9*(Assumptions!$D$15*Assumptions!$B$23+Assumptions!$D$16)</f>
        <v>10533.3333333333</v>
      </c>
      <c r="AC25" s="17" t="n">
        <f aca="false">AC7*(Assumptions!$B$15*Assumptions!$B$23+Assumptions!$B$16)+AC8*(Assumptions!$C$15*Assumptions!$B$23+Assumptions!$C$16)+AC9*(Assumptions!$D$15*Assumptions!$B$23+Assumptions!$D$16)</f>
        <v>6700</v>
      </c>
      <c r="AD25" s="17" t="n">
        <f aca="false">AD7*(Assumptions!$B$15*Assumptions!$B$23+Assumptions!$B$16)+AD8*(Assumptions!$C$15*Assumptions!$B$23+Assumptions!$C$16)+AD9*(Assumptions!$D$15*Assumptions!$B$23+Assumptions!$D$16)</f>
        <v>6700</v>
      </c>
      <c r="AE25" s="17" t="n">
        <f aca="false">AE7*(Assumptions!$B$15*Assumptions!$B$23+Assumptions!$B$16)+AE8*(Assumptions!$C$15*Assumptions!$B$23+Assumptions!$C$16)+AE9*(Assumptions!$D$15*Assumptions!$B$23+Assumptions!$D$16)</f>
        <v>6700</v>
      </c>
      <c r="AF25" s="17" t="n">
        <f aca="false">AF7*(Assumptions!$B$15*Assumptions!$B$23+Assumptions!$B$16)+AF8*(Assumptions!$C$15*Assumptions!$B$23+Assumptions!$C$16)+AF9*(Assumptions!$D$15*Assumptions!$B$23+Assumptions!$D$16)</f>
        <v>12033.3333333333</v>
      </c>
      <c r="AG25" s="17" t="n">
        <f aca="false">AG7*(Assumptions!$B$15*Assumptions!$B$23+Assumptions!$B$16)+AG8*(Assumptions!$C$15*Assumptions!$B$23+Assumptions!$C$16)+AG9*(Assumptions!$D$15*Assumptions!$B$23+Assumptions!$D$16)</f>
        <v>12033.3333333333</v>
      </c>
      <c r="AH25" s="17" t="n">
        <f aca="false">AH7*(Assumptions!$B$15*Assumptions!$B$23+Assumptions!$B$16)+AH8*(Assumptions!$C$15*Assumptions!$B$23+Assumptions!$C$16)+AH9*(Assumptions!$D$15*Assumptions!$B$23+Assumptions!$D$16)</f>
        <v>12033.3333333333</v>
      </c>
      <c r="AI25" s="17" t="n">
        <f aca="false">AI7*(Assumptions!$B$15*Assumptions!$B$23+Assumptions!$B$16)+AI8*(Assumptions!$C$15*Assumptions!$B$23+Assumptions!$C$16)+AI9*(Assumptions!$D$15*Assumptions!$B$23+Assumptions!$D$16)</f>
        <v>12766.6666666667</v>
      </c>
      <c r="AJ25" s="17" t="n">
        <f aca="false">AJ7*(Assumptions!$B$15*Assumptions!$B$23+Assumptions!$B$16)+AJ8*(Assumptions!$C$15*Assumptions!$B$23+Assumptions!$C$16)+AJ9*(Assumptions!$D$15*Assumptions!$B$23+Assumptions!$D$16)</f>
        <v>12766.6666666667</v>
      </c>
      <c r="AK25" s="17" t="n">
        <f aca="false">AK7*(Assumptions!$B$15*Assumptions!$B$23+Assumptions!$B$16)+AK8*(Assumptions!$C$15*Assumptions!$B$23+Assumptions!$C$16)+AK9*(Assumptions!$D$15*Assumptions!$B$23+Assumptions!$D$16)</f>
        <v>12766.6666666667</v>
      </c>
    </row>
    <row r="26" customFormat="false" ht="15" hidden="false" customHeight="false" outlineLevel="0" collapsed="false">
      <c r="A26" s="3" t="s">
        <v>230</v>
      </c>
      <c r="B26" s="17" t="n">
        <f aca="false">B12*(Assumptions!$B$17*Assumptions!$B$23+Assumptions!$B$18)+B13*(Assumptions!$C$17*Assumptions!$B$23+Assumptions!$C$18)+B14*(Assumptions!$D$17*Assumptions!$B$23+Assumptions!$D$18)</f>
        <v>0</v>
      </c>
      <c r="C26" s="17" t="n">
        <f aca="false">C12*(Assumptions!$B$17*Assumptions!$B$23+Assumptions!$B$18)+C13*(Assumptions!$C$17*Assumptions!$B$23+Assumptions!$C$18)+C14*(Assumptions!$D$17*Assumptions!$B$23+Assumptions!$D$18)</f>
        <v>0</v>
      </c>
      <c r="D26" s="17" t="n">
        <f aca="false">D12*(Assumptions!$B$17*Assumptions!$B$23+Assumptions!$B$18)+D13*(Assumptions!$C$17*Assumptions!$B$23+Assumptions!$C$18)+D14*(Assumptions!$D$17*Assumptions!$B$23+Assumptions!$D$18)</f>
        <v>0</v>
      </c>
      <c r="E26" s="17" t="n">
        <f aca="false">E12*(Assumptions!$B$17*Assumptions!$B$23+Assumptions!$B$18)+E13*(Assumptions!$C$17*Assumptions!$B$23+Assumptions!$C$18)+E14*(Assumptions!$D$17*Assumptions!$B$23+Assumptions!$D$18)</f>
        <v>91.6666666666667</v>
      </c>
      <c r="F26" s="17" t="n">
        <f aca="false">F12*(Assumptions!$B$17*Assumptions!$B$23+Assumptions!$B$18)+F13*(Assumptions!$C$17*Assumptions!$B$23+Assumptions!$C$18)+F14*(Assumptions!$D$17*Assumptions!$B$23+Assumptions!$D$18)</f>
        <v>182.532018995819</v>
      </c>
      <c r="G26" s="17" t="n">
        <f aca="false">G12*(Assumptions!$B$17*Assumptions!$B$23+Assumptions!$B$18)+G13*(Assumptions!$C$17*Assumptions!$B$23+Assumptions!$C$18)+G14*(Assumptions!$D$17*Assumptions!$B$23+Assumptions!$D$18)</f>
        <v>272.603061765649</v>
      </c>
      <c r="H26" s="17" t="n">
        <f aca="false">H12*(Assumptions!$B$17*Assumptions!$B$23+Assumptions!$B$18)+H13*(Assumptions!$C$17*Assumptions!$B$23+Assumptions!$C$18)+H14*(Assumptions!$D$17*Assumptions!$B$23+Assumptions!$D$18)</f>
        <v>545.220071854635</v>
      </c>
      <c r="I26" s="17" t="n">
        <f aca="false">I12*(Assumptions!$B$17*Assumptions!$B$23+Assumptions!$B$18)+I13*(Assumptions!$C$17*Assumptions!$B$23+Assumptions!$C$18)+I14*(Assumptions!$D$17*Assumptions!$B$23+Assumptions!$D$18)</f>
        <v>815.45397010179</v>
      </c>
      <c r="J26" s="17" t="n">
        <f aca="false">J12*(Assumptions!$B$17*Assumptions!$B$23+Assumptions!$B$18)+J13*(Assumptions!$C$17*Assumptions!$B$23+Assumptions!$C$18)+J14*(Assumptions!$D$17*Assumptions!$B$23+Assumptions!$D$18)</f>
        <v>1083.3255887437</v>
      </c>
      <c r="K26" s="17" t="n">
        <f aca="false">K12*(Assumptions!$B$17*Assumptions!$B$23+Assumptions!$B$18)+K13*(Assumptions!$C$17*Assumptions!$B$23+Assumptions!$C$18)+K14*(Assumptions!$D$17*Assumptions!$B$23+Assumptions!$D$18)</f>
        <v>1348.85557790963</v>
      </c>
      <c r="L26" s="17" t="n">
        <f aca="false">L12*(Assumptions!$B$17*Assumptions!$B$23+Assumptions!$B$18)+L13*(Assumptions!$C$17*Assumptions!$B$23+Assumptions!$C$18)+L14*(Assumptions!$D$17*Assumptions!$B$23+Assumptions!$D$18)</f>
        <v>1612.06440721347</v>
      </c>
      <c r="M26" s="17" t="n">
        <f aca="false">M12*(Assumptions!$B$17*Assumptions!$B$23+Assumptions!$B$18)+M13*(Assumptions!$C$17*Assumptions!$B$23+Assumptions!$C$18)+M14*(Assumptions!$D$17*Assumptions!$B$23+Assumptions!$D$18)</f>
        <v>1872.9723673317</v>
      </c>
      <c r="N26" s="17" t="n">
        <f aca="false">N12*(Assumptions!$B$17*Assumptions!$B$23+Assumptions!$B$18)+N13*(Assumptions!$C$17*Assumptions!$B$23+Assumptions!$C$18)+N14*(Assumptions!$D$17*Assumptions!$B$23+Assumptions!$D$18)</f>
        <v>2223.26623823426</v>
      </c>
      <c r="O26" s="17" t="n">
        <f aca="false">O12*(Assumptions!$B$17*Assumptions!$B$23+Assumptions!$B$18)+O13*(Assumptions!$C$17*Assumptions!$B$23+Assumptions!$C$18)+O14*(Assumptions!$D$17*Assumptions!$B$23+Assumptions!$D$18)</f>
        <v>2570.49797639757</v>
      </c>
      <c r="P26" s="17" t="n">
        <f aca="false">P12*(Assumptions!$B$17*Assumptions!$B$23+Assumptions!$B$18)+P13*(Assumptions!$C$17*Assumptions!$B$23+Assumptions!$C$18)+P14*(Assumptions!$D$17*Assumptions!$B$23+Assumptions!$D$18)</f>
        <v>2914.69434979473</v>
      </c>
      <c r="Q26" s="17" t="n">
        <f aca="false">Q12*(Assumptions!$B$17*Assumptions!$B$23+Assumptions!$B$18)+Q13*(Assumptions!$C$17*Assumptions!$B$23+Assumptions!$C$18)+Q14*(Assumptions!$D$17*Assumptions!$B$23+Assumptions!$D$18)</f>
        <v>3439.21522573697</v>
      </c>
      <c r="R26" s="17" t="n">
        <f aca="false">R12*(Assumptions!$B$17*Assumptions!$B$23+Assumptions!$B$18)+R13*(Assumptions!$C$17*Assumptions!$B$23+Assumptions!$C$18)+R14*(Assumptions!$D$17*Assumptions!$B$23+Assumptions!$D$18)</f>
        <v>3959.15094424411</v>
      </c>
      <c r="S26" s="17" t="n">
        <f aca="false">S12*(Assumptions!$B$17*Assumptions!$B$23+Assumptions!$B$18)+S13*(Assumptions!$C$17*Assumptions!$B$23+Assumptions!$C$18)+S14*(Assumptions!$D$17*Assumptions!$B$23+Assumptions!$D$18)</f>
        <v>4474.54158697861</v>
      </c>
      <c r="T26" s="17" t="n">
        <f aca="false">T12*(Assumptions!$B$17*Assumptions!$B$23+Assumptions!$B$18)+T13*(Assumptions!$C$17*Assumptions!$B$23+Assumptions!$C$18)+T14*(Assumptions!$D$17*Assumptions!$B$23+Assumptions!$D$18)</f>
        <v>5428.76021855796</v>
      </c>
      <c r="U26" s="17" t="n">
        <f aca="false">U12*(Assumptions!$B$17*Assumptions!$B$23+Assumptions!$B$18)+U13*(Assumptions!$C$17*Assumptions!$B$23+Assumptions!$C$18)+U14*(Assumptions!$D$17*Assumptions!$B$23+Assumptions!$D$18)</f>
        <v>6374.63744209433</v>
      </c>
      <c r="V26" s="17" t="n">
        <f aca="false">V12*(Assumptions!$B$17*Assumptions!$B$23+Assumptions!$B$18)+V13*(Assumptions!$C$17*Assumptions!$B$23+Assumptions!$C$18)+V14*(Assumptions!$D$17*Assumptions!$B$23+Assumptions!$D$18)</f>
        <v>7312.24617493163</v>
      </c>
      <c r="W26" s="17" t="n">
        <f aca="false">W12*(Assumptions!$B$17*Assumptions!$B$23+Assumptions!$B$18)+W13*(Assumptions!$C$17*Assumptions!$B$23+Assumptions!$C$18)+W14*(Assumptions!$D$17*Assumptions!$B$23+Assumptions!$D$18)</f>
        <v>7798.32536366541</v>
      </c>
      <c r="X26" s="17" t="n">
        <f aca="false">X12*(Assumptions!$B$17*Assumptions!$B$23+Assumptions!$B$18)+X13*(Assumptions!$C$17*Assumptions!$B$23+Assumptions!$C$18)+X14*(Assumptions!$D$17*Assumptions!$B$23+Assumptions!$D$18)</f>
        <v>8280.1554372381</v>
      </c>
      <c r="Y26" s="17" t="n">
        <f aca="false">Y12*(Assumptions!$B$17*Assumptions!$B$23+Assumptions!$B$18)+Y13*(Assumptions!$C$17*Assumptions!$B$23+Assumptions!$C$18)+Y14*(Assumptions!$D$17*Assumptions!$B$23+Assumptions!$D$18)</f>
        <v>8757.77353976135</v>
      </c>
      <c r="Z26" s="17" t="n">
        <f aca="false">Z12*(Assumptions!$B$17*Assumptions!$B$23+Assumptions!$B$18)+Z13*(Assumptions!$C$17*Assumptions!$B$23+Assumptions!$C$18)+Z14*(Assumptions!$D$17*Assumptions!$B$23+Assumptions!$D$18)</f>
        <v>9949.54982398075</v>
      </c>
      <c r="AA26" s="17" t="n">
        <f aca="false">AA12*(Assumptions!$B$17*Assumptions!$B$23+Assumptions!$B$18)+AA13*(Assumptions!$C$17*Assumptions!$B$23+Assumptions!$C$18)+AA14*(Assumptions!$D$17*Assumptions!$B$23+Assumptions!$D$18)</f>
        <v>11130.9080635785</v>
      </c>
      <c r="AB26" s="17" t="n">
        <f aca="false">AB12*(Assumptions!$B$17*Assumptions!$B$23+Assumptions!$B$18)+AB13*(Assumptions!$C$17*Assumptions!$B$23+Assumptions!$C$18)+AB14*(Assumptions!$D$17*Assumptions!$B$23+Assumptions!$D$18)</f>
        <v>12301.9393290475</v>
      </c>
      <c r="AC26" s="17" t="n">
        <f aca="false">AC12*(Assumptions!$B$17*Assumptions!$B$23+Assumptions!$B$18)+AC13*(Assumptions!$C$17*Assumptions!$B$23+Assumptions!$C$18)+AC14*(Assumptions!$D$17*Assumptions!$B$23+Assumptions!$D$18)</f>
        <v>13019.4005614447</v>
      </c>
      <c r="AD26" s="17" t="n">
        <f aca="false">AD12*(Assumptions!$B$17*Assumptions!$B$23+Assumptions!$B$18)+AD13*(Assumptions!$C$17*Assumptions!$B$23+Assumptions!$C$18)+AD14*(Assumptions!$D$17*Assumptions!$B$23+Assumptions!$D$18)</f>
        <v>13730.5900268732</v>
      </c>
      <c r="AE26" s="17" t="n">
        <f aca="false">AE12*(Assumptions!$B$17*Assumptions!$B$23+Assumptions!$B$18)+AE13*(Assumptions!$C$17*Assumptions!$B$23+Assumptions!$C$18)+AE14*(Assumptions!$D$17*Assumptions!$B$23+Assumptions!$D$18)</f>
        <v>14435.5625506798</v>
      </c>
      <c r="AF26" s="17" t="n">
        <f aca="false">AF12*(Assumptions!$B$17*Assumptions!$B$23+Assumptions!$B$18)+AF13*(Assumptions!$C$17*Assumptions!$B$23+Assumptions!$C$18)+AF14*(Assumptions!$D$17*Assumptions!$B$23+Assumptions!$D$18)</f>
        <v>15761.0391456163</v>
      </c>
      <c r="AG26" s="17" t="n">
        <f aca="false">AG12*(Assumptions!$B$17*Assumptions!$B$23+Assumptions!$B$18)+AG13*(Assumptions!$C$17*Assumptions!$B$23+Assumptions!$C$18)+AG14*(Assumptions!$D$17*Assumptions!$B$23+Assumptions!$D$18)</f>
        <v>17074.9289398302</v>
      </c>
      <c r="AH26" s="17" t="n">
        <f aca="false">AH12*(Assumptions!$B$17*Assumptions!$B$23+Assumptions!$B$18)+AH13*(Assumptions!$C$17*Assumptions!$B$23+Assumptions!$C$18)+AH14*(Assumptions!$D$17*Assumptions!$B$23+Assumptions!$D$18)</f>
        <v>18377.3332206258</v>
      </c>
      <c r="AI26" s="17" t="n">
        <f aca="false">AI12*(Assumptions!$B$17*Assumptions!$B$23+Assumptions!$B$18)+AI13*(Assumptions!$C$17*Assumptions!$B$23+Assumptions!$C$18)+AI14*(Assumptions!$D$17*Assumptions!$B$23+Assumptions!$D$18)</f>
        <v>19760.0190565596</v>
      </c>
      <c r="AJ26" s="17" t="n">
        <f aca="false">AJ12*(Assumptions!$B$17*Assumptions!$B$23+Assumptions!$B$18)+AJ13*(Assumptions!$C$17*Assumptions!$B$23+Assumptions!$C$18)+AJ14*(Assumptions!$D$17*Assumptions!$B$23+Assumptions!$D$18)</f>
        <v>21130.6179908431</v>
      </c>
      <c r="AK26" s="17" t="n">
        <f aca="false">AK12*(Assumptions!$B$17*Assumptions!$B$23+Assumptions!$B$18)+AK13*(Assumptions!$C$17*Assumptions!$B$23+Assumptions!$C$18)+AK14*(Assumptions!$D$17*Assumptions!$B$23+Assumptions!$D$18)</f>
        <v>22489.2356824681</v>
      </c>
    </row>
    <row r="27" customFormat="false" ht="15" hidden="false" customHeight="false" outlineLevel="0" collapsed="false">
      <c r="A27" s="4" t="s">
        <v>231</v>
      </c>
      <c r="B27" s="12" t="n">
        <f aca="false">SUM(B24:B26)</f>
        <v>0</v>
      </c>
      <c r="C27" s="12" t="n">
        <f aca="false">SUM(C24:C26)</f>
        <v>0</v>
      </c>
      <c r="D27" s="12" t="n">
        <f aca="false">SUM(D24:D26)</f>
        <v>0</v>
      </c>
      <c r="E27" s="12" t="n">
        <f aca="false">SUM(E24:E26)</f>
        <v>2658</v>
      </c>
      <c r="F27" s="12" t="n">
        <f aca="false">SUM(F24:F26)</f>
        <v>2748.86535232915</v>
      </c>
      <c r="G27" s="12" t="n">
        <f aca="false">SUM(G24:G26)</f>
        <v>2838.93639509898</v>
      </c>
      <c r="H27" s="12" t="n">
        <f aca="false">SUM(H24:H26)</f>
        <v>12054.2200718546</v>
      </c>
      <c r="I27" s="12" t="n">
        <f aca="false">SUM(I24:I26)</f>
        <v>12324.4539701018</v>
      </c>
      <c r="J27" s="12" t="n">
        <f aca="false">SUM(J24:J26)</f>
        <v>12592.3255887437</v>
      </c>
      <c r="K27" s="12" t="n">
        <f aca="false">SUM(K24:K26)</f>
        <v>12857.8555779096</v>
      </c>
      <c r="L27" s="12" t="n">
        <f aca="false">SUM(L24:L26)</f>
        <v>13121.0644072135</v>
      </c>
      <c r="M27" s="12" t="n">
        <f aca="false">SUM(M24:M26)</f>
        <v>13381.9723673317</v>
      </c>
      <c r="N27" s="12" t="n">
        <f aca="false">SUM(N24:N26)</f>
        <v>16298.5995715676</v>
      </c>
      <c r="O27" s="12" t="n">
        <f aca="false">SUM(O24:O26)</f>
        <v>16645.8313097309</v>
      </c>
      <c r="P27" s="12" t="n">
        <f aca="false">SUM(P24:P26)</f>
        <v>16990.0276831281</v>
      </c>
      <c r="Q27" s="12" t="n">
        <f aca="false">SUM(Q24:Q26)</f>
        <v>26457.215225737</v>
      </c>
      <c r="R27" s="12" t="n">
        <f aca="false">SUM(R24:R26)</f>
        <v>26977.1509442441</v>
      </c>
      <c r="S27" s="12" t="n">
        <f aca="false">SUM(S24:S26)</f>
        <v>27492.5415869786</v>
      </c>
      <c r="T27" s="12" t="n">
        <f aca="false">SUM(T24:T26)</f>
        <v>51613.4268852246</v>
      </c>
      <c r="U27" s="12" t="n">
        <f aca="false">SUM(U24:U26)</f>
        <v>52559.304108761</v>
      </c>
      <c r="V27" s="12" t="n">
        <f aca="false">SUM(V24:V26)</f>
        <v>53496.9128415983</v>
      </c>
      <c r="W27" s="12" t="n">
        <f aca="false">SUM(W24:W26)</f>
        <v>30816.3253636654</v>
      </c>
      <c r="X27" s="12" t="n">
        <f aca="false">SUM(X24:X26)</f>
        <v>31298.1554372381</v>
      </c>
      <c r="Y27" s="12" t="n">
        <f aca="false">SUM(Y24:Y26)</f>
        <v>31775.7735397614</v>
      </c>
      <c r="Z27" s="12" t="n">
        <f aca="false">SUM(Z24:Z26)</f>
        <v>67643.2164906474</v>
      </c>
      <c r="AA27" s="12" t="n">
        <f aca="false">SUM(AA24:AA26)</f>
        <v>68824.5747302451</v>
      </c>
      <c r="AB27" s="12" t="n">
        <f aca="false">SUM(AB24:AB26)</f>
        <v>69995.6059957142</v>
      </c>
      <c r="AC27" s="12" t="n">
        <f aca="false">SUM(AC24:AC26)</f>
        <v>47546.4005614447</v>
      </c>
      <c r="AD27" s="12" t="n">
        <f aca="false">SUM(AD24:AD26)</f>
        <v>48257.5900268732</v>
      </c>
      <c r="AE27" s="12" t="n">
        <f aca="false">SUM(AE24:AE26)</f>
        <v>48962.5625506798</v>
      </c>
      <c r="AF27" s="12" t="n">
        <f aca="false">SUM(AF24:AF26)</f>
        <v>82397.3724789496</v>
      </c>
      <c r="AG27" s="12" t="n">
        <f aca="false">SUM(AG24:AG26)</f>
        <v>83711.2622731635</v>
      </c>
      <c r="AH27" s="12" t="n">
        <f aca="false">SUM(AH24:AH26)</f>
        <v>85013.6665539591</v>
      </c>
      <c r="AI27" s="12" t="n">
        <f aca="false">SUM(AI24:AI26)</f>
        <v>88962.6857232262</v>
      </c>
      <c r="AJ27" s="12" t="n">
        <f aca="false">SUM(AJ24:AJ26)</f>
        <v>90333.2846575097</v>
      </c>
      <c r="AK27" s="12" t="n">
        <f aca="false">SUM(AK24:AK26)</f>
        <v>91691.9023491348</v>
      </c>
    </row>
    <row r="28" customFormat="false" ht="15" hidden="false" customHeight="false" outlineLevel="0" collapsed="false">
      <c r="A28" s="4" t="s">
        <v>36</v>
      </c>
      <c r="B28" s="12" t="n">
        <f aca="false">B21-B27</f>
        <v>0</v>
      </c>
      <c r="C28" s="12" t="n">
        <f aca="false">C21-C27</f>
        <v>0</v>
      </c>
      <c r="D28" s="12" t="n">
        <f aca="false">D21-D27</f>
        <v>0</v>
      </c>
      <c r="E28" s="12" t="n">
        <f aca="false">E21-E27</f>
        <v>1299.95</v>
      </c>
      <c r="F28" s="12" t="n">
        <f aca="false">F21-F27</f>
        <v>1556.0250838367</v>
      </c>
      <c r="G28" s="12" t="n">
        <f aca="false">G21-G27</f>
        <v>1809.86165891531</v>
      </c>
      <c r="H28" s="12" t="n">
        <f aca="false">H21-H27</f>
        <v>6427.87929340852</v>
      </c>
      <c r="I28" s="12" t="n">
        <f aca="false">I21-I27</f>
        <v>7420.74117621562</v>
      </c>
      <c r="J28" s="12" t="n">
        <f aca="false">J21-J27</f>
        <v>8404.92384671147</v>
      </c>
      <c r="K28" s="12" t="n">
        <f aca="false">K21-K27</f>
        <v>9380.50317519349</v>
      </c>
      <c r="L28" s="12" t="n">
        <f aca="false">L21-L27</f>
        <v>10347.5543687305</v>
      </c>
      <c r="M28" s="12" t="n">
        <f aca="false">M21-M27</f>
        <v>11306.1519769603</v>
      </c>
      <c r="N28" s="12" t="n">
        <f aca="false">N21-N27</f>
        <v>17876.2996704388</v>
      </c>
      <c r="O28" s="12" t="n">
        <f aca="false">O21-O27</f>
        <v>19736.5226572613</v>
      </c>
      <c r="P28" s="12" t="n">
        <f aca="false">P21-P27</f>
        <v>21580.4842984441</v>
      </c>
      <c r="Q28" s="12" t="n">
        <f aca="false">Q21-Q27</f>
        <v>28174.7267443442</v>
      </c>
      <c r="R28" s="12" t="n">
        <f aca="false">R21-R27</f>
        <v>31126.5380500979</v>
      </c>
      <c r="S28" s="12" t="n">
        <f aca="false">S21-S27</f>
        <v>34052.545769805</v>
      </c>
      <c r="T28" s="12" t="n">
        <f aca="false">T21-T27</f>
        <v>46742.9754683761</v>
      </c>
      <c r="U28" s="12" t="n">
        <f aca="false">U21-U27</f>
        <v>51987.158288739</v>
      </c>
      <c r="V28" s="12" t="n">
        <f aca="false">V21-V27</f>
        <v>57185.498503111</v>
      </c>
      <c r="W28" s="12" t="n">
        <f aca="false">W21-W27</f>
        <v>52548.3968497188</v>
      </c>
      <c r="X28" s="12" t="n">
        <f aca="false">X21-X27</f>
        <v>55287.1430138732</v>
      </c>
      <c r="Y28" s="12" t="n">
        <f aca="false">Y21-Y27</f>
        <v>58001.9481245569</v>
      </c>
      <c r="Z28" s="12" t="n">
        <f aca="false">Z21-Z27</f>
        <v>76699.3714651452</v>
      </c>
      <c r="AA28" s="12" t="n">
        <f aca="false">AA21-AA27</f>
        <v>83280.7390289534</v>
      </c>
      <c r="AB28" s="12" t="n">
        <f aca="false">AB21-AB27</f>
        <v>89804.5748379689</v>
      </c>
      <c r="AC28" s="12" t="n">
        <f aca="false">AC21-AC27</f>
        <v>86481.3818124096</v>
      </c>
      <c r="AD28" s="12" t="n">
        <f aca="false">AD21-AD27</f>
        <v>90522.5509263425</v>
      </c>
      <c r="AE28" s="12" t="n">
        <f aca="false">AE21-AE27</f>
        <v>94528.3937120791</v>
      </c>
      <c r="AF28" s="12" t="n">
        <f aca="false">AF21-AF27</f>
        <v>113055.618978637</v>
      </c>
      <c r="AG28" s="12" t="n">
        <f aca="false">AG21-AG27</f>
        <v>120500.787532766</v>
      </c>
      <c r="AH28" s="12" t="n">
        <f aca="false">AH21-AH27</f>
        <v>127880.873319903</v>
      </c>
      <c r="AI28" s="12" t="n">
        <f aca="false">AI21-AI27</f>
        <v>136646.395268276</v>
      </c>
      <c r="AJ28" s="12" t="n">
        <f aca="false">AJ21-AJ27</f>
        <v>144302.78117496</v>
      </c>
      <c r="AK28" s="12" t="n">
        <f aca="false">AK21-AK27</f>
        <v>151892.237934727</v>
      </c>
    </row>
    <row r="29" customFormat="false" ht="15" hidden="false" customHeight="false" outlineLevel="0" collapsed="false">
      <c r="A29" s="3" t="s">
        <v>37</v>
      </c>
      <c r="B29" s="13" t="n">
        <f aca="false">IF(B21=0,0,B28/B21)</f>
        <v>0</v>
      </c>
      <c r="C29" s="13" t="n">
        <f aca="false">IF(C21=0,0,C28/C21)</f>
        <v>0</v>
      </c>
      <c r="D29" s="13" t="n">
        <f aca="false">IF(D21=0,0,D28/D21)</f>
        <v>0</v>
      </c>
      <c r="E29" s="13" t="n">
        <f aca="false">IF(E21=0,0,E28/E21)</f>
        <v>0.328440227895754</v>
      </c>
      <c r="F29" s="13" t="n">
        <f aca="false">IF(F21=0,0,F28/F21)</f>
        <v>0.361455211673767</v>
      </c>
      <c r="G29" s="13" t="n">
        <f aca="false">IF(G21=0,0,G28/G21)</f>
        <v>0.389318193194578</v>
      </c>
      <c r="H29" s="13" t="n">
        <f aca="false">IF(H21=0,0,H28/H21)</f>
        <v>0.347789456509991</v>
      </c>
      <c r="I29" s="13" t="n">
        <f aca="false">IF(I21=0,0,I28/I21)</f>
        <v>0.375825162588967</v>
      </c>
      <c r="J29" s="13" t="n">
        <f aca="false">IF(J21=0,0,J28/J21)</f>
        <v>0.40028689817435</v>
      </c>
      <c r="K29" s="13" t="n">
        <f aca="false">IF(K21=0,0,K28/K21)</f>
        <v>0.421816343523307</v>
      </c>
      <c r="L29" s="13" t="n">
        <f aca="false">IF(L21=0,0,L28/L21)</f>
        <v>0.440910241353319</v>
      </c>
      <c r="M29" s="13" t="n">
        <f aca="false">IF(M21=0,0,M28/M21)</f>
        <v>0.457959131252283</v>
      </c>
      <c r="N29" s="13" t="n">
        <f aca="false">IF(N21=0,0,N28/N21)</f>
        <v>0.523082732266434</v>
      </c>
      <c r="O29" s="13" t="n">
        <f aca="false">IF(O21=0,0,O28/O21)</f>
        <v>0.542475142624559</v>
      </c>
      <c r="P29" s="13" t="n">
        <f aca="false">IF(P21=0,0,P28/P21)</f>
        <v>0.559507333186414</v>
      </c>
      <c r="Q29" s="13" t="n">
        <f aca="false">IF(Q21=0,0,Q28/Q21)</f>
        <v>0.515718931605505</v>
      </c>
      <c r="R29" s="13" t="n">
        <f aca="false">IF(R21=0,0,R28/R21)</f>
        <v>0.535706744078314</v>
      </c>
      <c r="S29" s="13" t="n">
        <f aca="false">IF(S21=0,0,S28/S21)</f>
        <v>0.553294295812738</v>
      </c>
      <c r="T29" s="13" t="n">
        <f aca="false">IF(T21=0,0,T28/T21)</f>
        <v>0.475240801308801</v>
      </c>
      <c r="U29" s="13" t="n">
        <f aca="false">IF(U21=0,0,U28/U21)</f>
        <v>0.497263676805024</v>
      </c>
      <c r="V29" s="13" t="n">
        <f aca="false">IF(V21=0,0,V28/V21)</f>
        <v>0.516662926009197</v>
      </c>
      <c r="W29" s="13" t="n">
        <f aca="false">IF(W21=0,0,W28/W21)</f>
        <v>0.630343332941403</v>
      </c>
      <c r="X29" s="13" t="n">
        <f aca="false">IF(X21=0,0,X28/X21)</f>
        <v>0.638528064265899</v>
      </c>
      <c r="Y29" s="13" t="n">
        <f aca="false">IF(Y21=0,0,Y28/Y21)</f>
        <v>0.646061707173056</v>
      </c>
      <c r="Z29" s="13" t="n">
        <f aca="false">IF(Z21=0,0,Z28/Z21)</f>
        <v>0.531370349883402</v>
      </c>
      <c r="AA29" s="13" t="n">
        <f aca="false">IF(AA21=0,0,AA28/AA21)</f>
        <v>0.54752024745695</v>
      </c>
      <c r="AB29" s="13" t="n">
        <f aca="false">IF(AB21=0,0,AB28/AB21)</f>
        <v>0.561980433122512</v>
      </c>
      <c r="AC29" s="13" t="n">
        <f aca="false">IF(AC21=0,0,AC28/AC21)</f>
        <v>0.645249666007159</v>
      </c>
      <c r="AD29" s="13" t="n">
        <f aca="false">IF(AD21=0,0,AD28/AD21)</f>
        <v>0.652273086801797</v>
      </c>
      <c r="AE29" s="13" t="n">
        <f aca="false">IF(AE21=0,0,AE28/AE21)</f>
        <v>0.658775968702723</v>
      </c>
      <c r="AF29" s="13" t="n">
        <f aca="false">IF(AF21=0,0,AF28/AF21)</f>
        <v>0.578428696002692</v>
      </c>
      <c r="AG29" s="13" t="n">
        <f aca="false">IF(AG21=0,0,AG28/AG21)</f>
        <v>0.590076773859734</v>
      </c>
      <c r="AH29" s="13" t="n">
        <f aca="false">IF(AH21=0,0,AH28/AH21)</f>
        <v>0.600677092966645</v>
      </c>
      <c r="AI29" s="13" t="n">
        <f aca="false">IF(AI21=0,0,AI28/AI21)</f>
        <v>0.605677726569096</v>
      </c>
      <c r="AJ29" s="13" t="n">
        <f aca="false">IF(AJ21=0,0,AJ28/AJ21)</f>
        <v>0.615006822003196</v>
      </c>
      <c r="AK29" s="13" t="n">
        <f aca="false">IF(AK21=0,0,AK28/AK21)</f>
        <v>0.623571952417423</v>
      </c>
    </row>
    <row r="31" customFormat="false" ht="15" hidden="false" customHeight="false" outlineLevel="0" collapsed="false">
      <c r="A31" s="10" t="s">
        <v>38</v>
      </c>
    </row>
    <row r="32" customFormat="false" ht="15" hidden="false" customHeight="false" outlineLevel="0" collapsed="false">
      <c r="A32" s="3" t="s">
        <v>232</v>
      </c>
      <c r="B32" s="17" t="n">
        <f aca="false">(INDEX('Opex Plan'!$B$4:$D$4,1,B$3)/12+SUMPRODUCT(B49:B52,'Opex Plan'!$B$13:$B$16)/12)*(1+Assumptions!$B$27)</f>
        <v>7200</v>
      </c>
      <c r="C32" s="17" t="n">
        <f aca="false">(INDEX('Opex Plan'!$B$4:$D$4,1,C$3)/12+SUMPRODUCT(C49:C52,'Opex Plan'!$B$13:$B$16)/12)*(1+Assumptions!$B$27)</f>
        <v>7200</v>
      </c>
      <c r="D32" s="17" t="n">
        <f aca="false">(INDEX('Opex Plan'!$B$4:$D$4,1,D$3)/12+SUMPRODUCT(D49:D52,'Opex Plan'!$B$13:$B$16)/12)*(1+Assumptions!$B$27)</f>
        <v>7200</v>
      </c>
      <c r="E32" s="17" t="n">
        <f aca="false">(INDEX('Opex Plan'!$B$4:$D$4,1,E$3)/12+SUMPRODUCT(E49:E52,'Opex Plan'!$B$13:$B$16)/12)*(1+Assumptions!$B$27)</f>
        <v>7200</v>
      </c>
      <c r="F32" s="17" t="n">
        <f aca="false">(INDEX('Opex Plan'!$B$4:$D$4,1,F$3)/12+SUMPRODUCT(F49:F52,'Opex Plan'!$B$13:$B$16)/12)*(1+Assumptions!$B$27)</f>
        <v>7200</v>
      </c>
      <c r="G32" s="17" t="n">
        <f aca="false">(INDEX('Opex Plan'!$B$4:$D$4,1,G$3)/12+SUMPRODUCT(G49:G52,'Opex Plan'!$B$13:$B$16)/12)*(1+Assumptions!$B$27)</f>
        <v>7200</v>
      </c>
      <c r="H32" s="17" t="n">
        <f aca="false">(INDEX('Opex Plan'!$B$4:$D$4,1,H$3)/12+SUMPRODUCT(H49:H52,'Opex Plan'!$B$13:$B$16)/12)*(1+Assumptions!$B$27)</f>
        <v>7200</v>
      </c>
      <c r="I32" s="17" t="n">
        <f aca="false">(INDEX('Opex Plan'!$B$4:$D$4,1,I$3)/12+SUMPRODUCT(I49:I52,'Opex Plan'!$B$13:$B$16)/12)*(1+Assumptions!$B$27)</f>
        <v>7200</v>
      </c>
      <c r="J32" s="17" t="n">
        <f aca="false">(INDEX('Opex Plan'!$B$4:$D$4,1,J$3)/12+SUMPRODUCT(J49:J52,'Opex Plan'!$B$13:$B$16)/12)*(1+Assumptions!$B$27)</f>
        <v>7200</v>
      </c>
      <c r="K32" s="17" t="n">
        <f aca="false">(INDEX('Opex Plan'!$B$4:$D$4,1,K$3)/12+SUMPRODUCT(K49:K52,'Opex Plan'!$B$13:$B$16)/12)*(1+Assumptions!$B$27)</f>
        <v>7200</v>
      </c>
      <c r="L32" s="17" t="n">
        <f aca="false">(INDEX('Opex Plan'!$B$4:$D$4,1,L$3)/12+SUMPRODUCT(L49:L52,'Opex Plan'!$B$13:$B$16)/12)*(1+Assumptions!$B$27)</f>
        <v>7200</v>
      </c>
      <c r="M32" s="17" t="n">
        <f aca="false">(INDEX('Opex Plan'!$B$4:$D$4,1,M$3)/12+SUMPRODUCT(M49:M52,'Opex Plan'!$B$13:$B$16)/12)*(1+Assumptions!$B$27)</f>
        <v>7200</v>
      </c>
      <c r="N32" s="17" t="n">
        <f aca="false">(INDEX('Opex Plan'!$B$4:$D$4,1,N$3)/12+SUMPRODUCT(N49:N52,'Opex Plan'!$B$13:$B$16)/12)*(1+Assumptions!$B$27)</f>
        <v>19200</v>
      </c>
      <c r="O32" s="17" t="n">
        <f aca="false">(INDEX('Opex Plan'!$B$4:$D$4,1,O$3)/12+SUMPRODUCT(O49:O52,'Opex Plan'!$B$13:$B$16)/12)*(1+Assumptions!$B$27)</f>
        <v>29700</v>
      </c>
      <c r="P32" s="17" t="n">
        <f aca="false">(INDEX('Opex Plan'!$B$4:$D$4,1,P$3)/12+SUMPRODUCT(P49:P52,'Opex Plan'!$B$13:$B$16)/12)*(1+Assumptions!$B$27)</f>
        <v>29700</v>
      </c>
      <c r="Q32" s="17" t="n">
        <f aca="false">(INDEX('Opex Plan'!$B$4:$D$4,1,Q$3)/12+SUMPRODUCT(Q49:Q52,'Opex Plan'!$B$13:$B$16)/12)*(1+Assumptions!$B$27)</f>
        <v>29700</v>
      </c>
      <c r="R32" s="17" t="n">
        <f aca="false">(INDEX('Opex Plan'!$B$4:$D$4,1,R$3)/12+SUMPRODUCT(R49:R52,'Opex Plan'!$B$13:$B$16)/12)*(1+Assumptions!$B$27)</f>
        <v>38200</v>
      </c>
      <c r="S32" s="17" t="n">
        <f aca="false">(INDEX('Opex Plan'!$B$4:$D$4,1,S$3)/12+SUMPRODUCT(S49:S52,'Opex Plan'!$B$13:$B$16)/12)*(1+Assumptions!$B$27)</f>
        <v>38200</v>
      </c>
      <c r="T32" s="17" t="n">
        <f aca="false">(INDEX('Opex Plan'!$B$4:$D$4,1,T$3)/12+SUMPRODUCT(T49:T52,'Opex Plan'!$B$13:$B$16)/12)*(1+Assumptions!$B$27)</f>
        <v>38200</v>
      </c>
      <c r="U32" s="17" t="n">
        <f aca="false">(INDEX('Opex Plan'!$B$4:$D$4,1,U$3)/12+SUMPRODUCT(U49:U52,'Opex Plan'!$B$13:$B$16)/12)*(1+Assumptions!$B$27)</f>
        <v>38200</v>
      </c>
      <c r="V32" s="17" t="n">
        <f aca="false">(INDEX('Opex Plan'!$B$4:$D$4,1,V$3)/12+SUMPRODUCT(V49:V52,'Opex Plan'!$B$13:$B$16)/12)*(1+Assumptions!$B$27)</f>
        <v>38200</v>
      </c>
      <c r="W32" s="17" t="n">
        <f aca="false">(INDEX('Opex Plan'!$B$4:$D$4,1,W$3)/12+SUMPRODUCT(W49:W52,'Opex Plan'!$B$13:$B$16)/12)*(1+Assumptions!$B$27)</f>
        <v>38200</v>
      </c>
      <c r="X32" s="17" t="n">
        <f aca="false">(INDEX('Opex Plan'!$B$4:$D$4,1,X$3)/12+SUMPRODUCT(X49:X52,'Opex Plan'!$B$13:$B$16)/12)*(1+Assumptions!$B$27)</f>
        <v>38200</v>
      </c>
      <c r="Y32" s="17" t="n">
        <f aca="false">(INDEX('Opex Plan'!$B$4:$D$4,1,Y$3)/12+SUMPRODUCT(Y49:Y52,'Opex Plan'!$B$13:$B$16)/12)*(1+Assumptions!$B$27)</f>
        <v>38200</v>
      </c>
      <c r="Z32" s="17" t="n">
        <f aca="false">(INDEX('Opex Plan'!$B$4:$D$4,1,Z$3)/12+SUMPRODUCT(Z49:Z52,'Opex Plan'!$B$13:$B$16)/12)*(1+Assumptions!$B$27)</f>
        <v>45400</v>
      </c>
      <c r="AA32" s="17" t="n">
        <f aca="false">(INDEX('Opex Plan'!$B$4:$D$4,1,AA$3)/12+SUMPRODUCT(AA49:AA52,'Opex Plan'!$B$13:$B$16)/12)*(1+Assumptions!$B$27)</f>
        <v>45400</v>
      </c>
      <c r="AB32" s="17" t="n">
        <f aca="false">(INDEX('Opex Plan'!$B$4:$D$4,1,AB$3)/12+SUMPRODUCT(AB49:AB52,'Opex Plan'!$B$13:$B$16)/12)*(1+Assumptions!$B$27)</f>
        <v>45400</v>
      </c>
      <c r="AC32" s="17" t="n">
        <f aca="false">(INDEX('Opex Plan'!$B$4:$D$4,1,AC$3)/12+SUMPRODUCT(AC49:AC52,'Opex Plan'!$B$13:$B$16)/12)*(1+Assumptions!$B$27)</f>
        <v>56900</v>
      </c>
      <c r="AD32" s="17" t="n">
        <f aca="false">(INDEX('Opex Plan'!$B$4:$D$4,1,AD$3)/12+SUMPRODUCT(AD49:AD52,'Opex Plan'!$B$13:$B$16)/12)*(1+Assumptions!$B$27)</f>
        <v>56900</v>
      </c>
      <c r="AE32" s="17" t="n">
        <f aca="false">(INDEX('Opex Plan'!$B$4:$D$4,1,AE$3)/12+SUMPRODUCT(AE49:AE52,'Opex Plan'!$B$13:$B$16)/12)*(1+Assumptions!$B$27)</f>
        <v>56900</v>
      </c>
      <c r="AF32" s="17" t="n">
        <f aca="false">(INDEX('Opex Plan'!$B$4:$D$4,1,AF$3)/12+SUMPRODUCT(AF49:AF52,'Opex Plan'!$B$13:$B$16)/12)*(1+Assumptions!$B$27)</f>
        <v>56900</v>
      </c>
      <c r="AG32" s="17" t="n">
        <f aca="false">(INDEX('Opex Plan'!$B$4:$D$4,1,AG$3)/12+SUMPRODUCT(AG49:AG52,'Opex Plan'!$B$13:$B$16)/12)*(1+Assumptions!$B$27)</f>
        <v>56900</v>
      </c>
      <c r="AH32" s="17" t="n">
        <f aca="false">(INDEX('Opex Plan'!$B$4:$D$4,1,AH$3)/12+SUMPRODUCT(AH49:AH52,'Opex Plan'!$B$13:$B$16)/12)*(1+Assumptions!$B$27)</f>
        <v>56900</v>
      </c>
      <c r="AI32" s="17" t="n">
        <f aca="false">(INDEX('Opex Plan'!$B$4:$D$4,1,AI$3)/12+SUMPRODUCT(AI49:AI52,'Opex Plan'!$B$13:$B$16)/12)*(1+Assumptions!$B$27)</f>
        <v>56900</v>
      </c>
      <c r="AJ32" s="17" t="n">
        <f aca="false">(INDEX('Opex Plan'!$B$4:$D$4,1,AJ$3)/12+SUMPRODUCT(AJ49:AJ52,'Opex Plan'!$B$13:$B$16)/12)*(1+Assumptions!$B$27)</f>
        <v>64400</v>
      </c>
      <c r="AK32" s="17" t="n">
        <f aca="false">(INDEX('Opex Plan'!$B$4:$D$4,1,AK$3)/12+SUMPRODUCT(AK49:AK52,'Opex Plan'!$B$13:$B$16)/12)*(1+Assumptions!$B$27)</f>
        <v>64400</v>
      </c>
    </row>
    <row r="33" customFormat="false" ht="15" hidden="false" customHeight="false" outlineLevel="0" collapsed="false">
      <c r="A33" s="3" t="s">
        <v>233</v>
      </c>
      <c r="B33" s="11" t="n">
        <f aca="false">INDEX('Opex Plan'!$B$5:$D$5,1,B$3)/12</f>
        <v>833.333333333333</v>
      </c>
      <c r="C33" s="11" t="n">
        <f aca="false">INDEX('Opex Plan'!$B$5:$D$5,1,C$3)/12</f>
        <v>833.333333333333</v>
      </c>
      <c r="D33" s="11" t="n">
        <f aca="false">INDEX('Opex Plan'!$B$5:$D$5,1,D$3)/12</f>
        <v>833.333333333333</v>
      </c>
      <c r="E33" s="11" t="n">
        <f aca="false">INDEX('Opex Plan'!$B$5:$D$5,1,E$3)/12</f>
        <v>833.333333333333</v>
      </c>
      <c r="F33" s="11" t="n">
        <f aca="false">INDEX('Opex Plan'!$B$5:$D$5,1,F$3)/12</f>
        <v>833.333333333333</v>
      </c>
      <c r="G33" s="11" t="n">
        <f aca="false">INDEX('Opex Plan'!$B$5:$D$5,1,G$3)/12</f>
        <v>833.333333333333</v>
      </c>
      <c r="H33" s="11" t="n">
        <f aca="false">INDEX('Opex Plan'!$B$5:$D$5,1,H$3)/12</f>
        <v>833.333333333333</v>
      </c>
      <c r="I33" s="11" t="n">
        <f aca="false">INDEX('Opex Plan'!$B$5:$D$5,1,I$3)/12</f>
        <v>833.333333333333</v>
      </c>
      <c r="J33" s="11" t="n">
        <f aca="false">INDEX('Opex Plan'!$B$5:$D$5,1,J$3)/12</f>
        <v>833.333333333333</v>
      </c>
      <c r="K33" s="11" t="n">
        <f aca="false">INDEX('Opex Plan'!$B$5:$D$5,1,K$3)/12</f>
        <v>833.333333333333</v>
      </c>
      <c r="L33" s="11" t="n">
        <f aca="false">INDEX('Opex Plan'!$B$5:$D$5,1,L$3)/12</f>
        <v>833.333333333333</v>
      </c>
      <c r="M33" s="11" t="n">
        <f aca="false">INDEX('Opex Plan'!$B$5:$D$5,1,M$3)/12</f>
        <v>833.333333333333</v>
      </c>
      <c r="N33" s="11" t="n">
        <f aca="false">INDEX('Opex Plan'!$B$5:$D$5,1,N$3)/12</f>
        <v>1666.66666666667</v>
      </c>
      <c r="O33" s="11" t="n">
        <f aca="false">INDEX('Opex Plan'!$B$5:$D$5,1,O$3)/12</f>
        <v>1666.66666666667</v>
      </c>
      <c r="P33" s="11" t="n">
        <f aca="false">INDEX('Opex Plan'!$B$5:$D$5,1,P$3)/12</f>
        <v>1666.66666666667</v>
      </c>
      <c r="Q33" s="11" t="n">
        <f aca="false">INDEX('Opex Plan'!$B$5:$D$5,1,Q$3)/12</f>
        <v>1666.66666666667</v>
      </c>
      <c r="R33" s="11" t="n">
        <f aca="false">INDEX('Opex Plan'!$B$5:$D$5,1,R$3)/12</f>
        <v>1666.66666666667</v>
      </c>
      <c r="S33" s="11" t="n">
        <f aca="false">INDEX('Opex Plan'!$B$5:$D$5,1,S$3)/12</f>
        <v>1666.66666666667</v>
      </c>
      <c r="T33" s="11" t="n">
        <f aca="false">INDEX('Opex Plan'!$B$5:$D$5,1,T$3)/12</f>
        <v>1666.66666666667</v>
      </c>
      <c r="U33" s="11" t="n">
        <f aca="false">INDEX('Opex Plan'!$B$5:$D$5,1,U$3)/12</f>
        <v>1666.66666666667</v>
      </c>
      <c r="V33" s="11" t="n">
        <f aca="false">INDEX('Opex Plan'!$B$5:$D$5,1,V$3)/12</f>
        <v>1666.66666666667</v>
      </c>
      <c r="W33" s="11" t="n">
        <f aca="false">INDEX('Opex Plan'!$B$5:$D$5,1,W$3)/12</f>
        <v>1666.66666666667</v>
      </c>
      <c r="X33" s="11" t="n">
        <f aca="false">INDEX('Opex Plan'!$B$5:$D$5,1,X$3)/12</f>
        <v>1666.66666666667</v>
      </c>
      <c r="Y33" s="11" t="n">
        <f aca="false">INDEX('Opex Plan'!$B$5:$D$5,1,Y$3)/12</f>
        <v>1666.66666666667</v>
      </c>
      <c r="Z33" s="11" t="n">
        <f aca="false">INDEX('Opex Plan'!$B$5:$D$5,1,Z$3)/12</f>
        <v>2500</v>
      </c>
      <c r="AA33" s="11" t="n">
        <f aca="false">INDEX('Opex Plan'!$B$5:$D$5,1,AA$3)/12</f>
        <v>2500</v>
      </c>
      <c r="AB33" s="11" t="n">
        <f aca="false">INDEX('Opex Plan'!$B$5:$D$5,1,AB$3)/12</f>
        <v>2500</v>
      </c>
      <c r="AC33" s="11" t="n">
        <f aca="false">INDEX('Opex Plan'!$B$5:$D$5,1,AC$3)/12</f>
        <v>2500</v>
      </c>
      <c r="AD33" s="11" t="n">
        <f aca="false">INDEX('Opex Plan'!$B$5:$D$5,1,AD$3)/12</f>
        <v>2500</v>
      </c>
      <c r="AE33" s="11" t="n">
        <f aca="false">INDEX('Opex Plan'!$B$5:$D$5,1,AE$3)/12</f>
        <v>2500</v>
      </c>
      <c r="AF33" s="11" t="n">
        <f aca="false">INDEX('Opex Plan'!$B$5:$D$5,1,AF$3)/12</f>
        <v>2500</v>
      </c>
      <c r="AG33" s="11" t="n">
        <f aca="false">INDEX('Opex Plan'!$B$5:$D$5,1,AG$3)/12</f>
        <v>2500</v>
      </c>
      <c r="AH33" s="11" t="n">
        <f aca="false">INDEX('Opex Plan'!$B$5:$D$5,1,AH$3)/12</f>
        <v>2500</v>
      </c>
      <c r="AI33" s="11" t="n">
        <f aca="false">INDEX('Opex Plan'!$B$5:$D$5,1,AI$3)/12</f>
        <v>2500</v>
      </c>
      <c r="AJ33" s="11" t="n">
        <f aca="false">INDEX('Opex Plan'!$B$5:$D$5,1,AJ$3)/12</f>
        <v>2500</v>
      </c>
      <c r="AK33" s="11" t="n">
        <f aca="false">INDEX('Opex Plan'!$B$5:$D$5,1,AK$3)/12</f>
        <v>2500</v>
      </c>
    </row>
    <row r="34" customFormat="false" ht="15" hidden="false" customHeight="false" outlineLevel="0" collapsed="false">
      <c r="A34" s="3" t="s">
        <v>234</v>
      </c>
      <c r="B34" s="11" t="n">
        <f aca="false">INDEX('Opex Plan'!$B$6:$D$6,1,B$3)/12</f>
        <v>333.333333333333</v>
      </c>
      <c r="C34" s="11" t="n">
        <f aca="false">INDEX('Opex Plan'!$B$6:$D$6,1,C$3)/12</f>
        <v>333.333333333333</v>
      </c>
      <c r="D34" s="11" t="n">
        <f aca="false">INDEX('Opex Plan'!$B$6:$D$6,1,D$3)/12</f>
        <v>333.333333333333</v>
      </c>
      <c r="E34" s="11" t="n">
        <f aca="false">INDEX('Opex Plan'!$B$6:$D$6,1,E$3)/12</f>
        <v>333.333333333333</v>
      </c>
      <c r="F34" s="11" t="n">
        <f aca="false">INDEX('Opex Plan'!$B$6:$D$6,1,F$3)/12</f>
        <v>333.333333333333</v>
      </c>
      <c r="G34" s="11" t="n">
        <f aca="false">INDEX('Opex Plan'!$B$6:$D$6,1,G$3)/12</f>
        <v>333.333333333333</v>
      </c>
      <c r="H34" s="11" t="n">
        <f aca="false">INDEX('Opex Plan'!$B$6:$D$6,1,H$3)/12</f>
        <v>333.333333333333</v>
      </c>
      <c r="I34" s="11" t="n">
        <f aca="false">INDEX('Opex Plan'!$B$6:$D$6,1,I$3)/12</f>
        <v>333.333333333333</v>
      </c>
      <c r="J34" s="11" t="n">
        <f aca="false">INDEX('Opex Plan'!$B$6:$D$6,1,J$3)/12</f>
        <v>333.333333333333</v>
      </c>
      <c r="K34" s="11" t="n">
        <f aca="false">INDEX('Opex Plan'!$B$6:$D$6,1,K$3)/12</f>
        <v>333.333333333333</v>
      </c>
      <c r="L34" s="11" t="n">
        <f aca="false">INDEX('Opex Plan'!$B$6:$D$6,1,L$3)/12</f>
        <v>333.333333333333</v>
      </c>
      <c r="M34" s="11" t="n">
        <f aca="false">INDEX('Opex Plan'!$B$6:$D$6,1,M$3)/12</f>
        <v>333.333333333333</v>
      </c>
      <c r="N34" s="11" t="n">
        <f aca="false">INDEX('Opex Plan'!$B$6:$D$6,1,N$3)/12</f>
        <v>666.666666666667</v>
      </c>
      <c r="O34" s="11" t="n">
        <f aca="false">INDEX('Opex Plan'!$B$6:$D$6,1,O$3)/12</f>
        <v>666.666666666667</v>
      </c>
      <c r="P34" s="11" t="n">
        <f aca="false">INDEX('Opex Plan'!$B$6:$D$6,1,P$3)/12</f>
        <v>666.666666666667</v>
      </c>
      <c r="Q34" s="11" t="n">
        <f aca="false">INDEX('Opex Plan'!$B$6:$D$6,1,Q$3)/12</f>
        <v>666.666666666667</v>
      </c>
      <c r="R34" s="11" t="n">
        <f aca="false">INDEX('Opex Plan'!$B$6:$D$6,1,R$3)/12</f>
        <v>666.666666666667</v>
      </c>
      <c r="S34" s="11" t="n">
        <f aca="false">INDEX('Opex Plan'!$B$6:$D$6,1,S$3)/12</f>
        <v>666.666666666667</v>
      </c>
      <c r="T34" s="11" t="n">
        <f aca="false">INDEX('Opex Plan'!$B$6:$D$6,1,T$3)/12</f>
        <v>666.666666666667</v>
      </c>
      <c r="U34" s="11" t="n">
        <f aca="false">INDEX('Opex Plan'!$B$6:$D$6,1,U$3)/12</f>
        <v>666.666666666667</v>
      </c>
      <c r="V34" s="11" t="n">
        <f aca="false">INDEX('Opex Plan'!$B$6:$D$6,1,V$3)/12</f>
        <v>666.666666666667</v>
      </c>
      <c r="W34" s="11" t="n">
        <f aca="false">INDEX('Opex Plan'!$B$6:$D$6,1,W$3)/12</f>
        <v>666.666666666667</v>
      </c>
      <c r="X34" s="11" t="n">
        <f aca="false">INDEX('Opex Plan'!$B$6:$D$6,1,X$3)/12</f>
        <v>666.666666666667</v>
      </c>
      <c r="Y34" s="11" t="n">
        <f aca="false">INDEX('Opex Plan'!$B$6:$D$6,1,Y$3)/12</f>
        <v>666.666666666667</v>
      </c>
      <c r="Z34" s="11" t="n">
        <f aca="false">INDEX('Opex Plan'!$B$6:$D$6,1,Z$3)/12</f>
        <v>1166.66666666667</v>
      </c>
      <c r="AA34" s="11" t="n">
        <f aca="false">INDEX('Opex Plan'!$B$6:$D$6,1,AA$3)/12</f>
        <v>1166.66666666667</v>
      </c>
      <c r="AB34" s="11" t="n">
        <f aca="false">INDEX('Opex Plan'!$B$6:$D$6,1,AB$3)/12</f>
        <v>1166.66666666667</v>
      </c>
      <c r="AC34" s="11" t="n">
        <f aca="false">INDEX('Opex Plan'!$B$6:$D$6,1,AC$3)/12</f>
        <v>1166.66666666667</v>
      </c>
      <c r="AD34" s="11" t="n">
        <f aca="false">INDEX('Opex Plan'!$B$6:$D$6,1,AD$3)/12</f>
        <v>1166.66666666667</v>
      </c>
      <c r="AE34" s="11" t="n">
        <f aca="false">INDEX('Opex Plan'!$B$6:$D$6,1,AE$3)/12</f>
        <v>1166.66666666667</v>
      </c>
      <c r="AF34" s="11" t="n">
        <f aca="false">INDEX('Opex Plan'!$B$6:$D$6,1,AF$3)/12</f>
        <v>1166.66666666667</v>
      </c>
      <c r="AG34" s="11" t="n">
        <f aca="false">INDEX('Opex Plan'!$B$6:$D$6,1,AG$3)/12</f>
        <v>1166.66666666667</v>
      </c>
      <c r="AH34" s="11" t="n">
        <f aca="false">INDEX('Opex Plan'!$B$6:$D$6,1,AH$3)/12</f>
        <v>1166.66666666667</v>
      </c>
      <c r="AI34" s="11" t="n">
        <f aca="false">INDEX('Opex Plan'!$B$6:$D$6,1,AI$3)/12</f>
        <v>1166.66666666667</v>
      </c>
      <c r="AJ34" s="11" t="n">
        <f aca="false">INDEX('Opex Plan'!$B$6:$D$6,1,AJ$3)/12</f>
        <v>1166.66666666667</v>
      </c>
      <c r="AK34" s="11" t="n">
        <f aca="false">INDEX('Opex Plan'!$B$6:$D$6,1,AK$3)/12</f>
        <v>1166.66666666667</v>
      </c>
    </row>
    <row r="35" customFormat="false" ht="15" hidden="false" customHeight="false" outlineLevel="0" collapsed="false">
      <c r="A35" s="3" t="s">
        <v>235</v>
      </c>
      <c r="B35" s="11" t="n">
        <f aca="false">INDEX('Opex Plan'!$B$7:$D$7,1,B$3)/12</f>
        <v>1250</v>
      </c>
      <c r="C35" s="11" t="n">
        <f aca="false">INDEX('Opex Plan'!$B$7:$D$7,1,C$3)/12</f>
        <v>1250</v>
      </c>
      <c r="D35" s="11" t="n">
        <f aca="false">INDEX('Opex Plan'!$B$7:$D$7,1,D$3)/12</f>
        <v>1250</v>
      </c>
      <c r="E35" s="11" t="n">
        <f aca="false">INDEX('Opex Plan'!$B$7:$D$7,1,E$3)/12</f>
        <v>1250</v>
      </c>
      <c r="F35" s="11" t="n">
        <f aca="false">INDEX('Opex Plan'!$B$7:$D$7,1,F$3)/12</f>
        <v>1250</v>
      </c>
      <c r="G35" s="11" t="n">
        <f aca="false">INDEX('Opex Plan'!$B$7:$D$7,1,G$3)/12</f>
        <v>1250</v>
      </c>
      <c r="H35" s="11" t="n">
        <f aca="false">INDEX('Opex Plan'!$B$7:$D$7,1,H$3)/12</f>
        <v>1250</v>
      </c>
      <c r="I35" s="11" t="n">
        <f aca="false">INDEX('Opex Plan'!$B$7:$D$7,1,I$3)/12</f>
        <v>1250</v>
      </c>
      <c r="J35" s="11" t="n">
        <f aca="false">INDEX('Opex Plan'!$B$7:$D$7,1,J$3)/12</f>
        <v>1250</v>
      </c>
      <c r="K35" s="11" t="n">
        <f aca="false">INDEX('Opex Plan'!$B$7:$D$7,1,K$3)/12</f>
        <v>1250</v>
      </c>
      <c r="L35" s="11" t="n">
        <f aca="false">INDEX('Opex Plan'!$B$7:$D$7,1,L$3)/12</f>
        <v>1250</v>
      </c>
      <c r="M35" s="11" t="n">
        <f aca="false">INDEX('Opex Plan'!$B$7:$D$7,1,M$3)/12</f>
        <v>1250</v>
      </c>
      <c r="N35" s="11" t="n">
        <f aca="false">INDEX('Opex Plan'!$B$7:$D$7,1,N$3)/12</f>
        <v>1250</v>
      </c>
      <c r="O35" s="11" t="n">
        <f aca="false">INDEX('Opex Plan'!$B$7:$D$7,1,O$3)/12</f>
        <v>1250</v>
      </c>
      <c r="P35" s="11" t="n">
        <f aca="false">INDEX('Opex Plan'!$B$7:$D$7,1,P$3)/12</f>
        <v>1250</v>
      </c>
      <c r="Q35" s="11" t="n">
        <f aca="false">INDEX('Opex Plan'!$B$7:$D$7,1,Q$3)/12</f>
        <v>1250</v>
      </c>
      <c r="R35" s="11" t="n">
        <f aca="false">INDEX('Opex Plan'!$B$7:$D$7,1,R$3)/12</f>
        <v>1250</v>
      </c>
      <c r="S35" s="11" t="n">
        <f aca="false">INDEX('Opex Plan'!$B$7:$D$7,1,S$3)/12</f>
        <v>1250</v>
      </c>
      <c r="T35" s="11" t="n">
        <f aca="false">INDEX('Opex Plan'!$B$7:$D$7,1,T$3)/12</f>
        <v>1250</v>
      </c>
      <c r="U35" s="11" t="n">
        <f aca="false">INDEX('Opex Plan'!$B$7:$D$7,1,U$3)/12</f>
        <v>1250</v>
      </c>
      <c r="V35" s="11" t="n">
        <f aca="false">INDEX('Opex Plan'!$B$7:$D$7,1,V$3)/12</f>
        <v>1250</v>
      </c>
      <c r="W35" s="11" t="n">
        <f aca="false">INDEX('Opex Plan'!$B$7:$D$7,1,W$3)/12</f>
        <v>1250</v>
      </c>
      <c r="X35" s="11" t="n">
        <f aca="false">INDEX('Opex Plan'!$B$7:$D$7,1,X$3)/12</f>
        <v>1250</v>
      </c>
      <c r="Y35" s="11" t="n">
        <f aca="false">INDEX('Opex Plan'!$B$7:$D$7,1,Y$3)/12</f>
        <v>1250</v>
      </c>
      <c r="Z35" s="11" t="n">
        <f aca="false">INDEX('Opex Plan'!$B$7:$D$7,1,Z$3)/12</f>
        <v>1666.66666666667</v>
      </c>
      <c r="AA35" s="11" t="n">
        <f aca="false">INDEX('Opex Plan'!$B$7:$D$7,1,AA$3)/12</f>
        <v>1666.66666666667</v>
      </c>
      <c r="AB35" s="11" t="n">
        <f aca="false">INDEX('Opex Plan'!$B$7:$D$7,1,AB$3)/12</f>
        <v>1666.66666666667</v>
      </c>
      <c r="AC35" s="11" t="n">
        <f aca="false">INDEX('Opex Plan'!$B$7:$D$7,1,AC$3)/12</f>
        <v>1666.66666666667</v>
      </c>
      <c r="AD35" s="11" t="n">
        <f aca="false">INDEX('Opex Plan'!$B$7:$D$7,1,AD$3)/12</f>
        <v>1666.66666666667</v>
      </c>
      <c r="AE35" s="11" t="n">
        <f aca="false">INDEX('Opex Plan'!$B$7:$D$7,1,AE$3)/12</f>
        <v>1666.66666666667</v>
      </c>
      <c r="AF35" s="11" t="n">
        <f aca="false">INDEX('Opex Plan'!$B$7:$D$7,1,AF$3)/12</f>
        <v>1666.66666666667</v>
      </c>
      <c r="AG35" s="11" t="n">
        <f aca="false">INDEX('Opex Plan'!$B$7:$D$7,1,AG$3)/12</f>
        <v>1666.66666666667</v>
      </c>
      <c r="AH35" s="11" t="n">
        <f aca="false">INDEX('Opex Plan'!$B$7:$D$7,1,AH$3)/12</f>
        <v>1666.66666666667</v>
      </c>
      <c r="AI35" s="11" t="n">
        <f aca="false">INDEX('Opex Plan'!$B$7:$D$7,1,AI$3)/12</f>
        <v>1666.66666666667</v>
      </c>
      <c r="AJ35" s="11" t="n">
        <f aca="false">INDEX('Opex Plan'!$B$7:$D$7,1,AJ$3)/12</f>
        <v>1666.66666666667</v>
      </c>
      <c r="AK35" s="11" t="n">
        <f aca="false">INDEX('Opex Plan'!$B$7:$D$7,1,AK$3)/12</f>
        <v>1666.66666666667</v>
      </c>
    </row>
    <row r="36" customFormat="false" ht="15" hidden="false" customHeight="false" outlineLevel="0" collapsed="false">
      <c r="A36" s="3" t="s">
        <v>236</v>
      </c>
      <c r="B36" s="11" t="n">
        <f aca="false">INDEX('Opex Plan'!$B$8:$D$8,1,B$3)/12</f>
        <v>750</v>
      </c>
      <c r="C36" s="11" t="n">
        <f aca="false">INDEX('Opex Plan'!$B$8:$D$8,1,C$3)/12</f>
        <v>750</v>
      </c>
      <c r="D36" s="11" t="n">
        <f aca="false">INDEX('Opex Plan'!$B$8:$D$8,1,D$3)/12</f>
        <v>750</v>
      </c>
      <c r="E36" s="11" t="n">
        <f aca="false">INDEX('Opex Plan'!$B$8:$D$8,1,E$3)/12</f>
        <v>750</v>
      </c>
      <c r="F36" s="11" t="n">
        <f aca="false">INDEX('Opex Plan'!$B$8:$D$8,1,F$3)/12</f>
        <v>750</v>
      </c>
      <c r="G36" s="11" t="n">
        <f aca="false">INDEX('Opex Plan'!$B$8:$D$8,1,G$3)/12</f>
        <v>750</v>
      </c>
      <c r="H36" s="11" t="n">
        <f aca="false">INDEX('Opex Plan'!$B$8:$D$8,1,H$3)/12</f>
        <v>750</v>
      </c>
      <c r="I36" s="11" t="n">
        <f aca="false">INDEX('Opex Plan'!$B$8:$D$8,1,I$3)/12</f>
        <v>750</v>
      </c>
      <c r="J36" s="11" t="n">
        <f aca="false">INDEX('Opex Plan'!$B$8:$D$8,1,J$3)/12</f>
        <v>750</v>
      </c>
      <c r="K36" s="11" t="n">
        <f aca="false">INDEX('Opex Plan'!$B$8:$D$8,1,K$3)/12</f>
        <v>750</v>
      </c>
      <c r="L36" s="11" t="n">
        <f aca="false">INDEX('Opex Plan'!$B$8:$D$8,1,L$3)/12</f>
        <v>750</v>
      </c>
      <c r="M36" s="11" t="n">
        <f aca="false">INDEX('Opex Plan'!$B$8:$D$8,1,M$3)/12</f>
        <v>750</v>
      </c>
      <c r="N36" s="11" t="n">
        <f aca="false">INDEX('Opex Plan'!$B$8:$D$8,1,N$3)/12</f>
        <v>3083.33333333333</v>
      </c>
      <c r="O36" s="11" t="n">
        <f aca="false">INDEX('Opex Plan'!$B$8:$D$8,1,O$3)/12</f>
        <v>3083.33333333333</v>
      </c>
      <c r="P36" s="11" t="n">
        <f aca="false">INDEX('Opex Plan'!$B$8:$D$8,1,P$3)/12</f>
        <v>3083.33333333333</v>
      </c>
      <c r="Q36" s="11" t="n">
        <f aca="false">INDEX('Opex Plan'!$B$8:$D$8,1,Q$3)/12</f>
        <v>3083.33333333333</v>
      </c>
      <c r="R36" s="11" t="n">
        <f aca="false">INDEX('Opex Plan'!$B$8:$D$8,1,R$3)/12</f>
        <v>3083.33333333333</v>
      </c>
      <c r="S36" s="11" t="n">
        <f aca="false">INDEX('Opex Plan'!$B$8:$D$8,1,S$3)/12</f>
        <v>3083.33333333333</v>
      </c>
      <c r="T36" s="11" t="n">
        <f aca="false">INDEX('Opex Plan'!$B$8:$D$8,1,T$3)/12</f>
        <v>3083.33333333333</v>
      </c>
      <c r="U36" s="11" t="n">
        <f aca="false">INDEX('Opex Plan'!$B$8:$D$8,1,U$3)/12</f>
        <v>3083.33333333333</v>
      </c>
      <c r="V36" s="11" t="n">
        <f aca="false">INDEX('Opex Plan'!$B$8:$D$8,1,V$3)/12</f>
        <v>3083.33333333333</v>
      </c>
      <c r="W36" s="11" t="n">
        <f aca="false">INDEX('Opex Plan'!$B$8:$D$8,1,W$3)/12</f>
        <v>3083.33333333333</v>
      </c>
      <c r="X36" s="11" t="n">
        <f aca="false">INDEX('Opex Plan'!$B$8:$D$8,1,X$3)/12</f>
        <v>3083.33333333333</v>
      </c>
      <c r="Y36" s="11" t="n">
        <f aca="false">INDEX('Opex Plan'!$B$8:$D$8,1,Y$3)/12</f>
        <v>3083.33333333333</v>
      </c>
      <c r="Z36" s="11" t="n">
        <f aca="false">INDEX('Opex Plan'!$B$8:$D$8,1,Z$3)/12</f>
        <v>3750</v>
      </c>
      <c r="AA36" s="11" t="n">
        <f aca="false">INDEX('Opex Plan'!$B$8:$D$8,1,AA$3)/12</f>
        <v>3750</v>
      </c>
      <c r="AB36" s="11" t="n">
        <f aca="false">INDEX('Opex Plan'!$B$8:$D$8,1,AB$3)/12</f>
        <v>3750</v>
      </c>
      <c r="AC36" s="11" t="n">
        <f aca="false">INDEX('Opex Plan'!$B$8:$D$8,1,AC$3)/12</f>
        <v>3750</v>
      </c>
      <c r="AD36" s="11" t="n">
        <f aca="false">INDEX('Opex Plan'!$B$8:$D$8,1,AD$3)/12</f>
        <v>3750</v>
      </c>
      <c r="AE36" s="11" t="n">
        <f aca="false">INDEX('Opex Plan'!$B$8:$D$8,1,AE$3)/12</f>
        <v>3750</v>
      </c>
      <c r="AF36" s="11" t="n">
        <f aca="false">INDEX('Opex Plan'!$B$8:$D$8,1,AF$3)/12</f>
        <v>3750</v>
      </c>
      <c r="AG36" s="11" t="n">
        <f aca="false">INDEX('Opex Plan'!$B$8:$D$8,1,AG$3)/12</f>
        <v>3750</v>
      </c>
      <c r="AH36" s="11" t="n">
        <f aca="false">INDEX('Opex Plan'!$B$8:$D$8,1,AH$3)/12</f>
        <v>3750</v>
      </c>
      <c r="AI36" s="11" t="n">
        <f aca="false">INDEX('Opex Plan'!$B$8:$D$8,1,AI$3)/12</f>
        <v>3750</v>
      </c>
      <c r="AJ36" s="11" t="n">
        <f aca="false">INDEX('Opex Plan'!$B$8:$D$8,1,AJ$3)/12</f>
        <v>3750</v>
      </c>
      <c r="AK36" s="11" t="n">
        <f aca="false">INDEX('Opex Plan'!$B$8:$D$8,1,AK$3)/12</f>
        <v>3750</v>
      </c>
    </row>
    <row r="37" customFormat="false" ht="15" hidden="false" customHeight="false" outlineLevel="0" collapsed="false">
      <c r="A37" s="3" t="s">
        <v>237</v>
      </c>
      <c r="B37" s="11" t="n">
        <f aca="false">INDEX('Opex Plan'!$B$9:$D$9,1,B$3)/12</f>
        <v>1250</v>
      </c>
      <c r="C37" s="11" t="n">
        <f aca="false">INDEX('Opex Plan'!$B$9:$D$9,1,C$3)/12</f>
        <v>1250</v>
      </c>
      <c r="D37" s="11" t="n">
        <f aca="false">INDEX('Opex Plan'!$B$9:$D$9,1,D$3)/12</f>
        <v>1250</v>
      </c>
      <c r="E37" s="11" t="n">
        <f aca="false">INDEX('Opex Plan'!$B$9:$D$9,1,E$3)/12</f>
        <v>1250</v>
      </c>
      <c r="F37" s="11" t="n">
        <f aca="false">INDEX('Opex Plan'!$B$9:$D$9,1,F$3)/12</f>
        <v>1250</v>
      </c>
      <c r="G37" s="11" t="n">
        <f aca="false">INDEX('Opex Plan'!$B$9:$D$9,1,G$3)/12</f>
        <v>1250</v>
      </c>
      <c r="H37" s="11" t="n">
        <f aca="false">INDEX('Opex Plan'!$B$9:$D$9,1,H$3)/12</f>
        <v>1250</v>
      </c>
      <c r="I37" s="11" t="n">
        <f aca="false">INDEX('Opex Plan'!$B$9:$D$9,1,I$3)/12</f>
        <v>1250</v>
      </c>
      <c r="J37" s="11" t="n">
        <f aca="false">INDEX('Opex Plan'!$B$9:$D$9,1,J$3)/12</f>
        <v>1250</v>
      </c>
      <c r="K37" s="11" t="n">
        <f aca="false">INDEX('Opex Plan'!$B$9:$D$9,1,K$3)/12</f>
        <v>1250</v>
      </c>
      <c r="L37" s="11" t="n">
        <f aca="false">INDEX('Opex Plan'!$B$9:$D$9,1,L$3)/12</f>
        <v>1250</v>
      </c>
      <c r="M37" s="11" t="n">
        <f aca="false">INDEX('Opex Plan'!$B$9:$D$9,1,M$3)/12</f>
        <v>1250</v>
      </c>
      <c r="N37" s="11" t="n">
        <f aca="false">INDEX('Opex Plan'!$B$9:$D$9,1,N$3)/12</f>
        <v>3333.33333333333</v>
      </c>
      <c r="O37" s="11" t="n">
        <f aca="false">INDEX('Opex Plan'!$B$9:$D$9,1,O$3)/12</f>
        <v>3333.33333333333</v>
      </c>
      <c r="P37" s="11" t="n">
        <f aca="false">INDEX('Opex Plan'!$B$9:$D$9,1,P$3)/12</f>
        <v>3333.33333333333</v>
      </c>
      <c r="Q37" s="11" t="n">
        <f aca="false">INDEX('Opex Plan'!$B$9:$D$9,1,Q$3)/12</f>
        <v>3333.33333333333</v>
      </c>
      <c r="R37" s="11" t="n">
        <f aca="false">INDEX('Opex Plan'!$B$9:$D$9,1,R$3)/12</f>
        <v>3333.33333333333</v>
      </c>
      <c r="S37" s="11" t="n">
        <f aca="false">INDEX('Opex Plan'!$B$9:$D$9,1,S$3)/12</f>
        <v>3333.33333333333</v>
      </c>
      <c r="T37" s="11" t="n">
        <f aca="false">INDEX('Opex Plan'!$B$9:$D$9,1,T$3)/12</f>
        <v>3333.33333333333</v>
      </c>
      <c r="U37" s="11" t="n">
        <f aca="false">INDEX('Opex Plan'!$B$9:$D$9,1,U$3)/12</f>
        <v>3333.33333333333</v>
      </c>
      <c r="V37" s="11" t="n">
        <f aca="false">INDEX('Opex Plan'!$B$9:$D$9,1,V$3)/12</f>
        <v>3333.33333333333</v>
      </c>
      <c r="W37" s="11" t="n">
        <f aca="false">INDEX('Opex Plan'!$B$9:$D$9,1,W$3)/12</f>
        <v>3333.33333333333</v>
      </c>
      <c r="X37" s="11" t="n">
        <f aca="false">INDEX('Opex Plan'!$B$9:$D$9,1,X$3)/12</f>
        <v>3333.33333333333</v>
      </c>
      <c r="Y37" s="11" t="n">
        <f aca="false">INDEX('Opex Plan'!$B$9:$D$9,1,Y$3)/12</f>
        <v>3333.33333333333</v>
      </c>
      <c r="Z37" s="11" t="n">
        <f aca="false">INDEX('Opex Plan'!$B$9:$D$9,1,Z$3)/12</f>
        <v>5833.33333333333</v>
      </c>
      <c r="AA37" s="11" t="n">
        <f aca="false">INDEX('Opex Plan'!$B$9:$D$9,1,AA$3)/12</f>
        <v>5833.33333333333</v>
      </c>
      <c r="AB37" s="11" t="n">
        <f aca="false">INDEX('Opex Plan'!$B$9:$D$9,1,AB$3)/12</f>
        <v>5833.33333333333</v>
      </c>
      <c r="AC37" s="11" t="n">
        <f aca="false">INDEX('Opex Plan'!$B$9:$D$9,1,AC$3)/12</f>
        <v>5833.33333333333</v>
      </c>
      <c r="AD37" s="11" t="n">
        <f aca="false">INDEX('Opex Plan'!$B$9:$D$9,1,AD$3)/12</f>
        <v>5833.33333333333</v>
      </c>
      <c r="AE37" s="11" t="n">
        <f aca="false">INDEX('Opex Plan'!$B$9:$D$9,1,AE$3)/12</f>
        <v>5833.33333333333</v>
      </c>
      <c r="AF37" s="11" t="n">
        <f aca="false">INDEX('Opex Plan'!$B$9:$D$9,1,AF$3)/12</f>
        <v>5833.33333333333</v>
      </c>
      <c r="AG37" s="11" t="n">
        <f aca="false">INDEX('Opex Plan'!$B$9:$D$9,1,AG$3)/12</f>
        <v>5833.33333333333</v>
      </c>
      <c r="AH37" s="11" t="n">
        <f aca="false">INDEX('Opex Plan'!$B$9:$D$9,1,AH$3)/12</f>
        <v>5833.33333333333</v>
      </c>
      <c r="AI37" s="11" t="n">
        <f aca="false">INDEX('Opex Plan'!$B$9:$D$9,1,AI$3)/12</f>
        <v>5833.33333333333</v>
      </c>
      <c r="AJ37" s="11" t="n">
        <f aca="false">INDEX('Opex Plan'!$B$9:$D$9,1,AJ$3)/12</f>
        <v>5833.33333333333</v>
      </c>
      <c r="AK37" s="11" t="n">
        <f aca="false">INDEX('Opex Plan'!$B$9:$D$9,1,AK$3)/12</f>
        <v>5833.33333333333</v>
      </c>
    </row>
    <row r="38" customFormat="false" ht="15" hidden="false" customHeight="false" outlineLevel="0" collapsed="false">
      <c r="A38" s="3" t="s">
        <v>238</v>
      </c>
      <c r="B38" s="11" t="n">
        <f aca="false">INDEX('Opex Plan'!$B$10:$D$10,1,B$3)/12</f>
        <v>1000</v>
      </c>
      <c r="C38" s="11" t="n">
        <f aca="false">INDEX('Opex Plan'!$B$10:$D$10,1,C$3)/12</f>
        <v>1000</v>
      </c>
      <c r="D38" s="11" t="n">
        <f aca="false">INDEX('Opex Plan'!$B$10:$D$10,1,D$3)/12</f>
        <v>1000</v>
      </c>
      <c r="E38" s="11" t="n">
        <f aca="false">INDEX('Opex Plan'!$B$10:$D$10,1,E$3)/12</f>
        <v>1000</v>
      </c>
      <c r="F38" s="11" t="n">
        <f aca="false">INDEX('Opex Plan'!$B$10:$D$10,1,F$3)/12</f>
        <v>1000</v>
      </c>
      <c r="G38" s="11" t="n">
        <f aca="false">INDEX('Opex Plan'!$B$10:$D$10,1,G$3)/12</f>
        <v>1000</v>
      </c>
      <c r="H38" s="11" t="n">
        <f aca="false">INDEX('Opex Plan'!$B$10:$D$10,1,H$3)/12</f>
        <v>1000</v>
      </c>
      <c r="I38" s="11" t="n">
        <f aca="false">INDEX('Opex Plan'!$B$10:$D$10,1,I$3)/12</f>
        <v>1000</v>
      </c>
      <c r="J38" s="11" t="n">
        <f aca="false">INDEX('Opex Plan'!$B$10:$D$10,1,J$3)/12</f>
        <v>1000</v>
      </c>
      <c r="K38" s="11" t="n">
        <f aca="false">INDEX('Opex Plan'!$B$10:$D$10,1,K$3)/12</f>
        <v>1000</v>
      </c>
      <c r="L38" s="11" t="n">
        <f aca="false">INDEX('Opex Plan'!$B$10:$D$10,1,L$3)/12</f>
        <v>1000</v>
      </c>
      <c r="M38" s="11" t="n">
        <f aca="false">INDEX('Opex Plan'!$B$10:$D$10,1,M$3)/12</f>
        <v>1000</v>
      </c>
      <c r="N38" s="11" t="n">
        <f aca="false">INDEX('Opex Plan'!$B$10:$D$10,1,N$3)/12</f>
        <v>2000</v>
      </c>
      <c r="O38" s="11" t="n">
        <f aca="false">INDEX('Opex Plan'!$B$10:$D$10,1,O$3)/12</f>
        <v>2000</v>
      </c>
      <c r="P38" s="11" t="n">
        <f aca="false">INDEX('Opex Plan'!$B$10:$D$10,1,P$3)/12</f>
        <v>2000</v>
      </c>
      <c r="Q38" s="11" t="n">
        <f aca="false">INDEX('Opex Plan'!$B$10:$D$10,1,Q$3)/12</f>
        <v>2000</v>
      </c>
      <c r="R38" s="11" t="n">
        <f aca="false">INDEX('Opex Plan'!$B$10:$D$10,1,R$3)/12</f>
        <v>2000</v>
      </c>
      <c r="S38" s="11" t="n">
        <f aca="false">INDEX('Opex Plan'!$B$10:$D$10,1,S$3)/12</f>
        <v>2000</v>
      </c>
      <c r="T38" s="11" t="n">
        <f aca="false">INDEX('Opex Plan'!$B$10:$D$10,1,T$3)/12</f>
        <v>2000</v>
      </c>
      <c r="U38" s="11" t="n">
        <f aca="false">INDEX('Opex Plan'!$B$10:$D$10,1,U$3)/12</f>
        <v>2000</v>
      </c>
      <c r="V38" s="11" t="n">
        <f aca="false">INDEX('Opex Plan'!$B$10:$D$10,1,V$3)/12</f>
        <v>2000</v>
      </c>
      <c r="W38" s="11" t="n">
        <f aca="false">INDEX('Opex Plan'!$B$10:$D$10,1,W$3)/12</f>
        <v>2000</v>
      </c>
      <c r="X38" s="11" t="n">
        <f aca="false">INDEX('Opex Plan'!$B$10:$D$10,1,X$3)/12</f>
        <v>2000</v>
      </c>
      <c r="Y38" s="11" t="n">
        <f aca="false">INDEX('Opex Plan'!$B$10:$D$10,1,Y$3)/12</f>
        <v>2000</v>
      </c>
      <c r="Z38" s="11" t="n">
        <f aca="false">INDEX('Opex Plan'!$B$10:$D$10,1,Z$3)/12</f>
        <v>3000</v>
      </c>
      <c r="AA38" s="11" t="n">
        <f aca="false">INDEX('Opex Plan'!$B$10:$D$10,1,AA$3)/12</f>
        <v>3000</v>
      </c>
      <c r="AB38" s="11" t="n">
        <f aca="false">INDEX('Opex Plan'!$B$10:$D$10,1,AB$3)/12</f>
        <v>3000</v>
      </c>
      <c r="AC38" s="11" t="n">
        <f aca="false">INDEX('Opex Plan'!$B$10:$D$10,1,AC$3)/12</f>
        <v>3000</v>
      </c>
      <c r="AD38" s="11" t="n">
        <f aca="false">INDEX('Opex Plan'!$B$10:$D$10,1,AD$3)/12</f>
        <v>3000</v>
      </c>
      <c r="AE38" s="11" t="n">
        <f aca="false">INDEX('Opex Plan'!$B$10:$D$10,1,AE$3)/12</f>
        <v>3000</v>
      </c>
      <c r="AF38" s="11" t="n">
        <f aca="false">INDEX('Opex Plan'!$B$10:$D$10,1,AF$3)/12</f>
        <v>3000</v>
      </c>
      <c r="AG38" s="11" t="n">
        <f aca="false">INDEX('Opex Plan'!$B$10:$D$10,1,AG$3)/12</f>
        <v>3000</v>
      </c>
      <c r="AH38" s="11" t="n">
        <f aca="false">INDEX('Opex Plan'!$B$10:$D$10,1,AH$3)/12</f>
        <v>3000</v>
      </c>
      <c r="AI38" s="11" t="n">
        <f aca="false">INDEX('Opex Plan'!$B$10:$D$10,1,AI$3)/12</f>
        <v>3000</v>
      </c>
      <c r="AJ38" s="11" t="n">
        <f aca="false">INDEX('Opex Plan'!$B$10:$D$10,1,AJ$3)/12</f>
        <v>3000</v>
      </c>
      <c r="AK38" s="11" t="n">
        <f aca="false">INDEX('Opex Plan'!$B$10:$D$10,1,AK$3)/12</f>
        <v>3000</v>
      </c>
    </row>
    <row r="39" customFormat="false" ht="15" hidden="false" customHeight="false" outlineLevel="0" collapsed="false">
      <c r="A39" s="3" t="s">
        <v>239</v>
      </c>
      <c r="B39" s="17" t="n">
        <f aca="false">SUM(B32:B38)*Assumptions!$B$28</f>
        <v>1261.66666666667</v>
      </c>
      <c r="C39" s="17" t="n">
        <f aca="false">SUM(C32:C38)*Assumptions!$B$28</f>
        <v>1261.66666666667</v>
      </c>
      <c r="D39" s="17" t="n">
        <f aca="false">SUM(D32:D38)*Assumptions!$B$28</f>
        <v>1261.66666666667</v>
      </c>
      <c r="E39" s="17" t="n">
        <f aca="false">SUM(E32:E38)*Assumptions!$B$28</f>
        <v>1261.66666666667</v>
      </c>
      <c r="F39" s="17" t="n">
        <f aca="false">SUM(F32:F38)*Assumptions!$B$28</f>
        <v>1261.66666666667</v>
      </c>
      <c r="G39" s="17" t="n">
        <f aca="false">SUM(G32:G38)*Assumptions!$B$28</f>
        <v>1261.66666666667</v>
      </c>
      <c r="H39" s="17" t="n">
        <f aca="false">SUM(H32:H38)*Assumptions!$B$28</f>
        <v>1261.66666666667</v>
      </c>
      <c r="I39" s="17" t="n">
        <f aca="false">SUM(I32:I38)*Assumptions!$B$28</f>
        <v>1261.66666666667</v>
      </c>
      <c r="J39" s="17" t="n">
        <f aca="false">SUM(J32:J38)*Assumptions!$B$28</f>
        <v>1261.66666666667</v>
      </c>
      <c r="K39" s="17" t="n">
        <f aca="false">SUM(K32:K38)*Assumptions!$B$28</f>
        <v>1261.66666666667</v>
      </c>
      <c r="L39" s="17" t="n">
        <f aca="false">SUM(L32:L38)*Assumptions!$B$28</f>
        <v>1261.66666666667</v>
      </c>
      <c r="M39" s="17" t="n">
        <f aca="false">SUM(M32:M38)*Assumptions!$B$28</f>
        <v>1261.66666666667</v>
      </c>
      <c r="N39" s="17" t="n">
        <f aca="false">SUM(N32:N38)*Assumptions!$B$28</f>
        <v>3120</v>
      </c>
      <c r="O39" s="17" t="n">
        <f aca="false">SUM(O32:O38)*Assumptions!$B$28</f>
        <v>4170</v>
      </c>
      <c r="P39" s="17" t="n">
        <f aca="false">SUM(P32:P38)*Assumptions!$B$28</f>
        <v>4170</v>
      </c>
      <c r="Q39" s="17" t="n">
        <f aca="false">SUM(Q32:Q38)*Assumptions!$B$28</f>
        <v>4170</v>
      </c>
      <c r="R39" s="17" t="n">
        <f aca="false">SUM(R32:R38)*Assumptions!$B$28</f>
        <v>5020</v>
      </c>
      <c r="S39" s="17" t="n">
        <f aca="false">SUM(S32:S38)*Assumptions!$B$28</f>
        <v>5020</v>
      </c>
      <c r="T39" s="17" t="n">
        <f aca="false">SUM(T32:T38)*Assumptions!$B$28</f>
        <v>5020</v>
      </c>
      <c r="U39" s="17" t="n">
        <f aca="false">SUM(U32:U38)*Assumptions!$B$28</f>
        <v>5020</v>
      </c>
      <c r="V39" s="17" t="n">
        <f aca="false">SUM(V32:V38)*Assumptions!$B$28</f>
        <v>5020</v>
      </c>
      <c r="W39" s="17" t="n">
        <f aca="false">SUM(W32:W38)*Assumptions!$B$28</f>
        <v>5020</v>
      </c>
      <c r="X39" s="17" t="n">
        <f aca="false">SUM(X32:X38)*Assumptions!$B$28</f>
        <v>5020</v>
      </c>
      <c r="Y39" s="17" t="n">
        <f aca="false">SUM(Y32:Y38)*Assumptions!$B$28</f>
        <v>5020</v>
      </c>
      <c r="Z39" s="17" t="n">
        <f aca="false">SUM(Z32:Z38)*Assumptions!$B$28</f>
        <v>6331.66666666667</v>
      </c>
      <c r="AA39" s="17" t="n">
        <f aca="false">SUM(AA32:AA38)*Assumptions!$B$28</f>
        <v>6331.66666666667</v>
      </c>
      <c r="AB39" s="17" t="n">
        <f aca="false">SUM(AB32:AB38)*Assumptions!$B$28</f>
        <v>6331.66666666667</v>
      </c>
      <c r="AC39" s="17" t="n">
        <f aca="false">SUM(AC32:AC38)*Assumptions!$B$28</f>
        <v>7481.66666666667</v>
      </c>
      <c r="AD39" s="17" t="n">
        <f aca="false">SUM(AD32:AD38)*Assumptions!$B$28</f>
        <v>7481.66666666667</v>
      </c>
      <c r="AE39" s="17" t="n">
        <f aca="false">SUM(AE32:AE38)*Assumptions!$B$28</f>
        <v>7481.66666666667</v>
      </c>
      <c r="AF39" s="17" t="n">
        <f aca="false">SUM(AF32:AF38)*Assumptions!$B$28</f>
        <v>7481.66666666667</v>
      </c>
      <c r="AG39" s="17" t="n">
        <f aca="false">SUM(AG32:AG38)*Assumptions!$B$28</f>
        <v>7481.66666666667</v>
      </c>
      <c r="AH39" s="17" t="n">
        <f aca="false">SUM(AH32:AH38)*Assumptions!$B$28</f>
        <v>7481.66666666667</v>
      </c>
      <c r="AI39" s="17" t="n">
        <f aca="false">SUM(AI32:AI38)*Assumptions!$B$28</f>
        <v>7481.66666666667</v>
      </c>
      <c r="AJ39" s="17" t="n">
        <f aca="false">SUM(AJ32:AJ38)*Assumptions!$B$28</f>
        <v>8231.66666666667</v>
      </c>
      <c r="AK39" s="17" t="n">
        <f aca="false">SUM(AK32:AK38)*Assumptions!$B$28</f>
        <v>8231.66666666667</v>
      </c>
    </row>
    <row r="40" customFormat="false" ht="15" hidden="false" customHeight="false" outlineLevel="0" collapsed="false">
      <c r="A40" s="4" t="s">
        <v>240</v>
      </c>
      <c r="B40" s="12" t="n">
        <f aca="false">SUM(B32:B39)</f>
        <v>13878.3333333333</v>
      </c>
      <c r="C40" s="12" t="n">
        <f aca="false">SUM(C32:C39)</f>
        <v>13878.3333333333</v>
      </c>
      <c r="D40" s="12" t="n">
        <f aca="false">SUM(D32:D39)</f>
        <v>13878.3333333333</v>
      </c>
      <c r="E40" s="12" t="n">
        <f aca="false">SUM(E32:E39)</f>
        <v>13878.3333333333</v>
      </c>
      <c r="F40" s="12" t="n">
        <f aca="false">SUM(F32:F39)</f>
        <v>13878.3333333333</v>
      </c>
      <c r="G40" s="12" t="n">
        <f aca="false">SUM(G32:G39)</f>
        <v>13878.3333333333</v>
      </c>
      <c r="H40" s="12" t="n">
        <f aca="false">SUM(H32:H39)</f>
        <v>13878.3333333333</v>
      </c>
      <c r="I40" s="12" t="n">
        <f aca="false">SUM(I32:I39)</f>
        <v>13878.3333333333</v>
      </c>
      <c r="J40" s="12" t="n">
        <f aca="false">SUM(J32:J39)</f>
        <v>13878.3333333333</v>
      </c>
      <c r="K40" s="12" t="n">
        <f aca="false">SUM(K32:K39)</f>
        <v>13878.3333333333</v>
      </c>
      <c r="L40" s="12" t="n">
        <f aca="false">SUM(L32:L39)</f>
        <v>13878.3333333333</v>
      </c>
      <c r="M40" s="12" t="n">
        <f aca="false">SUM(M32:M39)</f>
        <v>13878.3333333333</v>
      </c>
      <c r="N40" s="12" t="n">
        <f aca="false">SUM(N32:N39)</f>
        <v>34320</v>
      </c>
      <c r="O40" s="12" t="n">
        <f aca="false">SUM(O32:O39)</f>
        <v>45870</v>
      </c>
      <c r="P40" s="12" t="n">
        <f aca="false">SUM(P32:P39)</f>
        <v>45870</v>
      </c>
      <c r="Q40" s="12" t="n">
        <f aca="false">SUM(Q32:Q39)</f>
        <v>45870</v>
      </c>
      <c r="R40" s="12" t="n">
        <f aca="false">SUM(R32:R39)</f>
        <v>55220</v>
      </c>
      <c r="S40" s="12" t="n">
        <f aca="false">SUM(S32:S39)</f>
        <v>55220</v>
      </c>
      <c r="T40" s="12" t="n">
        <f aca="false">SUM(T32:T39)</f>
        <v>55220</v>
      </c>
      <c r="U40" s="12" t="n">
        <f aca="false">SUM(U32:U39)</f>
        <v>55220</v>
      </c>
      <c r="V40" s="12" t="n">
        <f aca="false">SUM(V32:V39)</f>
        <v>55220</v>
      </c>
      <c r="W40" s="12" t="n">
        <f aca="false">SUM(W32:W39)</f>
        <v>55220</v>
      </c>
      <c r="X40" s="12" t="n">
        <f aca="false">SUM(X32:X39)</f>
        <v>55220</v>
      </c>
      <c r="Y40" s="12" t="n">
        <f aca="false">SUM(Y32:Y39)</f>
        <v>55220</v>
      </c>
      <c r="Z40" s="12" t="n">
        <f aca="false">SUM(Z32:Z39)</f>
        <v>69648.3333333333</v>
      </c>
      <c r="AA40" s="12" t="n">
        <f aca="false">SUM(AA32:AA39)</f>
        <v>69648.3333333333</v>
      </c>
      <c r="AB40" s="12" t="n">
        <f aca="false">SUM(AB32:AB39)</f>
        <v>69648.3333333333</v>
      </c>
      <c r="AC40" s="12" t="n">
        <f aca="false">SUM(AC32:AC39)</f>
        <v>82298.3333333333</v>
      </c>
      <c r="AD40" s="12" t="n">
        <f aca="false">SUM(AD32:AD39)</f>
        <v>82298.3333333333</v>
      </c>
      <c r="AE40" s="12" t="n">
        <f aca="false">SUM(AE32:AE39)</f>
        <v>82298.3333333333</v>
      </c>
      <c r="AF40" s="12" t="n">
        <f aca="false">SUM(AF32:AF39)</f>
        <v>82298.3333333333</v>
      </c>
      <c r="AG40" s="12" t="n">
        <f aca="false">SUM(AG32:AG39)</f>
        <v>82298.3333333333</v>
      </c>
      <c r="AH40" s="12" t="n">
        <f aca="false">SUM(AH32:AH39)</f>
        <v>82298.3333333333</v>
      </c>
      <c r="AI40" s="12" t="n">
        <f aca="false">SUM(AI32:AI39)</f>
        <v>82298.3333333333</v>
      </c>
      <c r="AJ40" s="12" t="n">
        <f aca="false">SUM(AJ32:AJ39)</f>
        <v>90548.3333333333</v>
      </c>
      <c r="AK40" s="12" t="n">
        <f aca="false">SUM(AK32:AK39)</f>
        <v>90548.3333333333</v>
      </c>
    </row>
    <row r="42" customFormat="false" ht="15" hidden="false" customHeight="false" outlineLevel="0" collapsed="false">
      <c r="A42" s="4" t="s">
        <v>241</v>
      </c>
      <c r="B42" s="33" t="n">
        <f aca="false">B28-B40</f>
        <v>-13878.3333333333</v>
      </c>
      <c r="C42" s="33" t="n">
        <f aca="false">C28-C40</f>
        <v>-13878.3333333333</v>
      </c>
      <c r="D42" s="33" t="n">
        <f aca="false">D28-D40</f>
        <v>-13878.3333333333</v>
      </c>
      <c r="E42" s="33" t="n">
        <f aca="false">E28-E40</f>
        <v>-12578.3833333333</v>
      </c>
      <c r="F42" s="33" t="n">
        <f aca="false">F28-F40</f>
        <v>-12322.3082494966</v>
      </c>
      <c r="G42" s="33" t="n">
        <f aca="false">G28-G40</f>
        <v>-12068.471674418</v>
      </c>
      <c r="H42" s="33" t="n">
        <f aca="false">H28-H40</f>
        <v>-7450.45403992482</v>
      </c>
      <c r="I42" s="33" t="n">
        <f aca="false">I28-I40</f>
        <v>-6457.59215711772</v>
      </c>
      <c r="J42" s="33" t="n">
        <f aca="false">J28-J40</f>
        <v>-5473.40948662187</v>
      </c>
      <c r="K42" s="33" t="n">
        <f aca="false">K28-K40</f>
        <v>-4497.83015813985</v>
      </c>
      <c r="L42" s="33" t="n">
        <f aca="false">L28-L40</f>
        <v>-3530.77896460286</v>
      </c>
      <c r="M42" s="33" t="n">
        <f aca="false">M28-M40</f>
        <v>-2572.18135637304</v>
      </c>
      <c r="N42" s="33" t="n">
        <f aca="false">N28-N40</f>
        <v>-16443.7003295612</v>
      </c>
      <c r="O42" s="33" t="n">
        <f aca="false">O28-O40</f>
        <v>-26133.4773427387</v>
      </c>
      <c r="P42" s="33" t="n">
        <f aca="false">P28-P40</f>
        <v>-24289.515701556</v>
      </c>
      <c r="Q42" s="33" t="n">
        <f aca="false">Q28-Q40</f>
        <v>-17695.2732556558</v>
      </c>
      <c r="R42" s="33" t="n">
        <f aca="false">R28-R40</f>
        <v>-24093.4619499021</v>
      </c>
      <c r="S42" s="33" t="n">
        <f aca="false">S28-S40</f>
        <v>-21167.454230195</v>
      </c>
      <c r="T42" s="33" t="n">
        <f aca="false">T28-T40</f>
        <v>-8477.02453162394</v>
      </c>
      <c r="U42" s="33" t="n">
        <f aca="false">U28-U40</f>
        <v>-3232.84171126101</v>
      </c>
      <c r="V42" s="33" t="n">
        <f aca="false">V28-V40</f>
        <v>1965.498503111</v>
      </c>
      <c r="W42" s="33" t="n">
        <f aca="false">W28-W40</f>
        <v>-2671.60315028118</v>
      </c>
      <c r="X42" s="33" t="n">
        <f aca="false">X28-X40</f>
        <v>67.1430138732249</v>
      </c>
      <c r="Y42" s="33" t="n">
        <f aca="false">Y28-Y40</f>
        <v>2781.94812455691</v>
      </c>
      <c r="Z42" s="33" t="n">
        <f aca="false">Z28-Z40</f>
        <v>7051.03813181187</v>
      </c>
      <c r="AA42" s="33" t="n">
        <f aca="false">AA28-AA40</f>
        <v>13632.40569562</v>
      </c>
      <c r="AB42" s="33" t="n">
        <f aca="false">AB28-AB40</f>
        <v>20156.2415046356</v>
      </c>
      <c r="AC42" s="33" t="n">
        <f aca="false">AC28-AC40</f>
        <v>4183.0484790763</v>
      </c>
      <c r="AD42" s="33" t="n">
        <f aca="false">AD28-AD40</f>
        <v>8224.2175930091</v>
      </c>
      <c r="AE42" s="33" t="n">
        <f aca="false">AE28-AE40</f>
        <v>12230.0603787458</v>
      </c>
      <c r="AF42" s="33" t="n">
        <f aca="false">AF28-AF40</f>
        <v>30757.2856453039</v>
      </c>
      <c r="AG42" s="33" t="n">
        <f aca="false">AG28-AG40</f>
        <v>38202.454199433</v>
      </c>
      <c r="AH42" s="33" t="n">
        <f aca="false">AH28-AH40</f>
        <v>45582.5399865698</v>
      </c>
      <c r="AI42" s="33" t="n">
        <f aca="false">AI28-AI40</f>
        <v>54348.0619349431</v>
      </c>
      <c r="AJ42" s="33" t="n">
        <f aca="false">AJ28-AJ40</f>
        <v>53754.4478416262</v>
      </c>
      <c r="AK42" s="33" t="n">
        <f aca="false">AK28-AK40</f>
        <v>61343.904601394</v>
      </c>
    </row>
    <row r="43" customFormat="false" ht="15" hidden="false" customHeight="false" outlineLevel="0" collapsed="false">
      <c r="A43" s="3" t="s">
        <v>242</v>
      </c>
      <c r="B43" s="11" t="n">
        <f aca="false">SUMPRODUCT(('Opex Plan'!$C$19:$C$21=B$2)*'Opex Plan'!$B$19:$B$21)</f>
        <v>5500</v>
      </c>
      <c r="C43" s="11" t="n">
        <f aca="false">SUMPRODUCT(('Opex Plan'!$C$19:$C$21=C$2)*'Opex Plan'!$B$19:$B$21)</f>
        <v>0</v>
      </c>
      <c r="D43" s="11" t="n">
        <f aca="false">SUMPRODUCT(('Opex Plan'!$C$19:$C$21=D$2)*'Opex Plan'!$B$19:$B$21)</f>
        <v>0</v>
      </c>
      <c r="E43" s="11" t="n">
        <f aca="false">SUMPRODUCT(('Opex Plan'!$C$19:$C$21=E$2)*'Opex Plan'!$B$19:$B$21)</f>
        <v>0</v>
      </c>
      <c r="F43" s="11" t="n">
        <f aca="false">SUMPRODUCT(('Opex Plan'!$C$19:$C$21=F$2)*'Opex Plan'!$B$19:$B$21)</f>
        <v>22500</v>
      </c>
      <c r="G43" s="11" t="n">
        <f aca="false">SUMPRODUCT(('Opex Plan'!$C$19:$C$21=G$2)*'Opex Plan'!$B$19:$B$21)</f>
        <v>0</v>
      </c>
      <c r="H43" s="11" t="n">
        <f aca="false">SUMPRODUCT(('Opex Plan'!$C$19:$C$21=H$2)*'Opex Plan'!$B$19:$B$21)</f>
        <v>0</v>
      </c>
      <c r="I43" s="11" t="n">
        <f aca="false">SUMPRODUCT(('Opex Plan'!$C$19:$C$21=I$2)*'Opex Plan'!$B$19:$B$21)</f>
        <v>0</v>
      </c>
      <c r="J43" s="11" t="n">
        <f aca="false">SUMPRODUCT(('Opex Plan'!$C$19:$C$21=J$2)*'Opex Plan'!$B$19:$B$21)</f>
        <v>0</v>
      </c>
      <c r="K43" s="11" t="n">
        <f aca="false">SUMPRODUCT(('Opex Plan'!$C$19:$C$21=K$2)*'Opex Plan'!$B$19:$B$21)</f>
        <v>0</v>
      </c>
      <c r="L43" s="11" t="n">
        <f aca="false">SUMPRODUCT(('Opex Plan'!$C$19:$C$21=L$2)*'Opex Plan'!$B$19:$B$21)</f>
        <v>0</v>
      </c>
      <c r="M43" s="11" t="n">
        <f aca="false">SUMPRODUCT(('Opex Plan'!$C$19:$C$21=M$2)*'Opex Plan'!$B$19:$B$21)</f>
        <v>0</v>
      </c>
      <c r="N43" s="11" t="n">
        <f aca="false">SUMPRODUCT(('Opex Plan'!$C$19:$C$21=N$2)*'Opex Plan'!$B$19:$B$21)</f>
        <v>8000</v>
      </c>
      <c r="O43" s="11" t="n">
        <f aca="false">SUMPRODUCT(('Opex Plan'!$C$19:$C$21=O$2)*'Opex Plan'!$B$19:$B$21)</f>
        <v>0</v>
      </c>
      <c r="P43" s="11" t="n">
        <f aca="false">SUMPRODUCT(('Opex Plan'!$C$19:$C$21=P$2)*'Opex Plan'!$B$19:$B$21)</f>
        <v>0</v>
      </c>
      <c r="Q43" s="11" t="n">
        <f aca="false">SUMPRODUCT(('Opex Plan'!$C$19:$C$21=Q$2)*'Opex Plan'!$B$19:$B$21)</f>
        <v>0</v>
      </c>
      <c r="R43" s="11" t="n">
        <f aca="false">SUMPRODUCT(('Opex Plan'!$C$19:$C$21=R$2)*'Opex Plan'!$B$19:$B$21)</f>
        <v>0</v>
      </c>
      <c r="S43" s="11" t="n">
        <f aca="false">SUMPRODUCT(('Opex Plan'!$C$19:$C$21=S$2)*'Opex Plan'!$B$19:$B$21)</f>
        <v>0</v>
      </c>
      <c r="T43" s="11" t="n">
        <f aca="false">SUMPRODUCT(('Opex Plan'!$C$19:$C$21=T$2)*'Opex Plan'!$B$19:$B$21)</f>
        <v>0</v>
      </c>
      <c r="U43" s="11" t="n">
        <f aca="false">SUMPRODUCT(('Opex Plan'!$C$19:$C$21=U$2)*'Opex Plan'!$B$19:$B$21)</f>
        <v>0</v>
      </c>
      <c r="V43" s="11" t="n">
        <f aca="false">SUMPRODUCT(('Opex Plan'!$C$19:$C$21=V$2)*'Opex Plan'!$B$19:$B$21)</f>
        <v>0</v>
      </c>
      <c r="W43" s="11" t="n">
        <f aca="false">SUMPRODUCT(('Opex Plan'!$C$19:$C$21=W$2)*'Opex Plan'!$B$19:$B$21)</f>
        <v>0</v>
      </c>
      <c r="X43" s="11" t="n">
        <f aca="false">SUMPRODUCT(('Opex Plan'!$C$19:$C$21=X$2)*'Opex Plan'!$B$19:$B$21)</f>
        <v>0</v>
      </c>
      <c r="Y43" s="11" t="n">
        <f aca="false">SUMPRODUCT(('Opex Plan'!$C$19:$C$21=Y$2)*'Opex Plan'!$B$19:$B$21)</f>
        <v>0</v>
      </c>
      <c r="Z43" s="11" t="n">
        <f aca="false">SUMPRODUCT(('Opex Plan'!$C$19:$C$21=Z$2)*'Opex Plan'!$B$19:$B$21)</f>
        <v>0</v>
      </c>
      <c r="AA43" s="11" t="n">
        <f aca="false">SUMPRODUCT(('Opex Plan'!$C$19:$C$21=AA$2)*'Opex Plan'!$B$19:$B$21)</f>
        <v>0</v>
      </c>
      <c r="AB43" s="11" t="n">
        <f aca="false">SUMPRODUCT(('Opex Plan'!$C$19:$C$21=AB$2)*'Opex Plan'!$B$19:$B$21)</f>
        <v>0</v>
      </c>
      <c r="AC43" s="11" t="n">
        <f aca="false">SUMPRODUCT(('Opex Plan'!$C$19:$C$21=AC$2)*'Opex Plan'!$B$19:$B$21)</f>
        <v>0</v>
      </c>
      <c r="AD43" s="11" t="n">
        <f aca="false">SUMPRODUCT(('Opex Plan'!$C$19:$C$21=AD$2)*'Opex Plan'!$B$19:$B$21)</f>
        <v>0</v>
      </c>
      <c r="AE43" s="11" t="n">
        <f aca="false">SUMPRODUCT(('Opex Plan'!$C$19:$C$21=AE$2)*'Opex Plan'!$B$19:$B$21)</f>
        <v>0</v>
      </c>
      <c r="AF43" s="11" t="n">
        <f aca="false">SUMPRODUCT(('Opex Plan'!$C$19:$C$21=AF$2)*'Opex Plan'!$B$19:$B$21)</f>
        <v>0</v>
      </c>
      <c r="AG43" s="11" t="n">
        <f aca="false">SUMPRODUCT(('Opex Plan'!$C$19:$C$21=AG$2)*'Opex Plan'!$B$19:$B$21)</f>
        <v>0</v>
      </c>
      <c r="AH43" s="11" t="n">
        <f aca="false">SUMPRODUCT(('Opex Plan'!$C$19:$C$21=AH$2)*'Opex Plan'!$B$19:$B$21)</f>
        <v>0</v>
      </c>
      <c r="AI43" s="11" t="n">
        <f aca="false">SUMPRODUCT(('Opex Plan'!$C$19:$C$21=AI$2)*'Opex Plan'!$B$19:$B$21)</f>
        <v>0</v>
      </c>
      <c r="AJ43" s="11" t="n">
        <f aca="false">SUMPRODUCT(('Opex Plan'!$C$19:$C$21=AJ$2)*'Opex Plan'!$B$19:$B$21)</f>
        <v>0</v>
      </c>
      <c r="AK43" s="11" t="n">
        <f aca="false">SUMPRODUCT(('Opex Plan'!$C$19:$C$21=AK$2)*'Opex Plan'!$B$19:$B$21)</f>
        <v>0</v>
      </c>
    </row>
    <row r="44" customFormat="false" ht="15" hidden="false" customHeight="false" outlineLevel="0" collapsed="false">
      <c r="A44" s="3" t="s">
        <v>243</v>
      </c>
      <c r="B44" s="17" t="n">
        <f aca="false">B42-B43</f>
        <v>-19378.3333333333</v>
      </c>
      <c r="C44" s="17" t="n">
        <f aca="false">C42-C43</f>
        <v>-13878.3333333333</v>
      </c>
      <c r="D44" s="17" t="n">
        <f aca="false">D42-D43</f>
        <v>-13878.3333333333</v>
      </c>
      <c r="E44" s="17" t="n">
        <f aca="false">E42-E43</f>
        <v>-12578.3833333333</v>
      </c>
      <c r="F44" s="17" t="n">
        <f aca="false">F42-F43</f>
        <v>-34822.3082494966</v>
      </c>
      <c r="G44" s="17" t="n">
        <f aca="false">G42-G43</f>
        <v>-12068.471674418</v>
      </c>
      <c r="H44" s="17" t="n">
        <f aca="false">H42-H43</f>
        <v>-7450.45403992482</v>
      </c>
      <c r="I44" s="17" t="n">
        <f aca="false">I42-I43</f>
        <v>-6457.59215711772</v>
      </c>
      <c r="J44" s="17" t="n">
        <f aca="false">J42-J43</f>
        <v>-5473.40948662187</v>
      </c>
      <c r="K44" s="17" t="n">
        <f aca="false">K42-K43</f>
        <v>-4497.83015813985</v>
      </c>
      <c r="L44" s="17" t="n">
        <f aca="false">L42-L43</f>
        <v>-3530.77896460286</v>
      </c>
      <c r="M44" s="17" t="n">
        <f aca="false">M42-M43</f>
        <v>-2572.18135637304</v>
      </c>
      <c r="N44" s="17" t="n">
        <f aca="false">N42-N43</f>
        <v>-24443.7003295612</v>
      </c>
      <c r="O44" s="17" t="n">
        <f aca="false">O42-O43</f>
        <v>-26133.4773427387</v>
      </c>
      <c r="P44" s="17" t="n">
        <f aca="false">P42-P43</f>
        <v>-24289.515701556</v>
      </c>
      <c r="Q44" s="17" t="n">
        <f aca="false">Q42-Q43</f>
        <v>-17695.2732556558</v>
      </c>
      <c r="R44" s="17" t="n">
        <f aca="false">R42-R43</f>
        <v>-24093.4619499021</v>
      </c>
      <c r="S44" s="17" t="n">
        <f aca="false">S42-S43</f>
        <v>-21167.454230195</v>
      </c>
      <c r="T44" s="17" t="n">
        <f aca="false">T42-T43</f>
        <v>-8477.02453162394</v>
      </c>
      <c r="U44" s="17" t="n">
        <f aca="false">U42-U43</f>
        <v>-3232.84171126101</v>
      </c>
      <c r="V44" s="17" t="n">
        <f aca="false">V42-V43</f>
        <v>1965.498503111</v>
      </c>
      <c r="W44" s="17" t="n">
        <f aca="false">W42-W43</f>
        <v>-2671.60315028118</v>
      </c>
      <c r="X44" s="17" t="n">
        <f aca="false">X42-X43</f>
        <v>67.1430138732249</v>
      </c>
      <c r="Y44" s="17" t="n">
        <f aca="false">Y42-Y43</f>
        <v>2781.94812455691</v>
      </c>
      <c r="Z44" s="17" t="n">
        <f aca="false">Z42-Z43</f>
        <v>7051.03813181187</v>
      </c>
      <c r="AA44" s="17" t="n">
        <f aca="false">AA42-AA43</f>
        <v>13632.40569562</v>
      </c>
      <c r="AB44" s="17" t="n">
        <f aca="false">AB42-AB43</f>
        <v>20156.2415046356</v>
      </c>
      <c r="AC44" s="17" t="n">
        <f aca="false">AC42-AC43</f>
        <v>4183.0484790763</v>
      </c>
      <c r="AD44" s="17" t="n">
        <f aca="false">AD42-AD43</f>
        <v>8224.2175930091</v>
      </c>
      <c r="AE44" s="17" t="n">
        <f aca="false">AE42-AE43</f>
        <v>12230.0603787458</v>
      </c>
      <c r="AF44" s="17" t="n">
        <f aca="false">AF42-AF43</f>
        <v>30757.2856453039</v>
      </c>
      <c r="AG44" s="17" t="n">
        <f aca="false">AG42-AG43</f>
        <v>38202.454199433</v>
      </c>
      <c r="AH44" s="17" t="n">
        <f aca="false">AH42-AH43</f>
        <v>45582.5399865698</v>
      </c>
      <c r="AI44" s="17" t="n">
        <f aca="false">AI42-AI43</f>
        <v>54348.0619349431</v>
      </c>
      <c r="AJ44" s="17" t="n">
        <f aca="false">AJ42-AJ43</f>
        <v>53754.4478416262</v>
      </c>
      <c r="AK44" s="17" t="n">
        <f aca="false">AK42-AK43</f>
        <v>61343.904601394</v>
      </c>
    </row>
    <row r="45" customFormat="false" ht="15" hidden="false" customHeight="false" outlineLevel="0" collapsed="false">
      <c r="A45" s="4" t="s">
        <v>244</v>
      </c>
      <c r="B45" s="33" t="n">
        <f aca="false">Assumptions!$B$6+B44</f>
        <v>-19378.3333333333</v>
      </c>
      <c r="C45" s="33" t="n">
        <f aca="false">B45+C44</f>
        <v>-33256.6666666667</v>
      </c>
      <c r="D45" s="33" t="n">
        <f aca="false">C45+D44</f>
        <v>-47135</v>
      </c>
      <c r="E45" s="33" t="n">
        <f aca="false">D45+E44</f>
        <v>-59713.3833333333</v>
      </c>
      <c r="F45" s="33" t="n">
        <f aca="false">E45+F44</f>
        <v>-94535.69158283</v>
      </c>
      <c r="G45" s="33" t="n">
        <f aca="false">F45+G44</f>
        <v>-106604.163257248</v>
      </c>
      <c r="H45" s="33" t="n">
        <f aca="false">G45+H44</f>
        <v>-114054.617297173</v>
      </c>
      <c r="I45" s="33" t="n">
        <f aca="false">H45+I44</f>
        <v>-120512.209454291</v>
      </c>
      <c r="J45" s="33" t="n">
        <f aca="false">I45+J44</f>
        <v>-125985.618940912</v>
      </c>
      <c r="K45" s="33" t="n">
        <f aca="false">J45+K44</f>
        <v>-130483.449099052</v>
      </c>
      <c r="L45" s="33" t="n">
        <f aca="false">K45+L44</f>
        <v>-134014.228063655</v>
      </c>
      <c r="M45" s="33" t="n">
        <f aca="false">L45+M44</f>
        <v>-136586.409420028</v>
      </c>
      <c r="N45" s="33" t="n">
        <f aca="false">M45+N44</f>
        <v>-161030.109749589</v>
      </c>
      <c r="O45" s="33" t="n">
        <f aca="false">N45+O44</f>
        <v>-187163.587092328</v>
      </c>
      <c r="P45" s="33" t="n">
        <f aca="false">O45+P44</f>
        <v>-211453.102793884</v>
      </c>
      <c r="Q45" s="33" t="n">
        <f aca="false">P45+Q44</f>
        <v>-229148.37604954</v>
      </c>
      <c r="R45" s="33" t="n">
        <f aca="false">Q45+R44</f>
        <v>-253241.837999442</v>
      </c>
      <c r="S45" s="33" t="n">
        <f aca="false">R45+S44</f>
        <v>-274409.292229637</v>
      </c>
      <c r="T45" s="33" t="n">
        <f aca="false">S45+T44</f>
        <v>-282886.316761261</v>
      </c>
      <c r="U45" s="33" t="n">
        <f aca="false">T45+U44</f>
        <v>-286119.158472522</v>
      </c>
      <c r="V45" s="33" t="n">
        <f aca="false">U45+V44</f>
        <v>-284153.659969411</v>
      </c>
      <c r="W45" s="33" t="n">
        <f aca="false">V45+W44</f>
        <v>-286825.263119692</v>
      </c>
      <c r="X45" s="33" t="n">
        <f aca="false">W45+X44</f>
        <v>-286758.120105819</v>
      </c>
      <c r="Y45" s="33" t="n">
        <f aca="false">X45+Y44</f>
        <v>-283976.171981262</v>
      </c>
      <c r="Z45" s="33" t="n">
        <f aca="false">Y45+Z44</f>
        <v>-276925.13384945</v>
      </c>
      <c r="AA45" s="33" t="n">
        <f aca="false">Z45+AA44</f>
        <v>-263292.72815383</v>
      </c>
      <c r="AB45" s="33" t="n">
        <f aca="false">AA45+AB44</f>
        <v>-243136.486649194</v>
      </c>
      <c r="AC45" s="33" t="n">
        <f aca="false">AB45+AC44</f>
        <v>-238953.438170118</v>
      </c>
      <c r="AD45" s="33" t="n">
        <f aca="false">AC45+AD44</f>
        <v>-230729.220577109</v>
      </c>
      <c r="AE45" s="33" t="n">
        <f aca="false">AD45+AE44</f>
        <v>-218499.160198363</v>
      </c>
      <c r="AF45" s="33" t="n">
        <f aca="false">AE45+AF44</f>
        <v>-187741.874553059</v>
      </c>
      <c r="AG45" s="33" t="n">
        <f aca="false">AF45+AG44</f>
        <v>-149539.420353626</v>
      </c>
      <c r="AH45" s="33" t="n">
        <f aca="false">AG45+AH44</f>
        <v>-103956.880367057</v>
      </c>
      <c r="AI45" s="33" t="n">
        <f aca="false">AH45+AI44</f>
        <v>-49608.8184321134</v>
      </c>
      <c r="AJ45" s="33" t="n">
        <f aca="false">AI45+AJ44</f>
        <v>4145.6294095128</v>
      </c>
      <c r="AK45" s="33" t="n">
        <f aca="false">AJ45+AK44</f>
        <v>65489.5340109068</v>
      </c>
    </row>
    <row r="47" customFormat="false" ht="15" hidden="false" customHeight="false" outlineLevel="0" collapsed="false">
      <c r="A47" s="3" t="s">
        <v>245</v>
      </c>
      <c r="B47" s="17" t="n">
        <f aca="false">(B12*Assumptions!$B$12+B13*Assumptions!$C$12+B14*Assumptions!$D$12)*12</f>
        <v>0</v>
      </c>
      <c r="C47" s="17" t="n">
        <f aca="false">(C12*Assumptions!$B$12+C13*Assumptions!$C$12+C14*Assumptions!$D$12)*12</f>
        <v>0</v>
      </c>
      <c r="D47" s="17" t="n">
        <f aca="false">(D12*Assumptions!$B$12+D13*Assumptions!$C$12+D14*Assumptions!$D$12)*12</f>
        <v>0</v>
      </c>
      <c r="E47" s="17" t="n">
        <f aca="false">(E12*Assumptions!$B$12+E13*Assumptions!$C$12+E14*Assumptions!$D$12)*12</f>
        <v>6000</v>
      </c>
      <c r="F47" s="17" t="n">
        <f aca="false">(F12*Assumptions!$B$12+F13*Assumptions!$C$12+F14*Assumptions!$D$12)*12</f>
        <v>11947.5503342718</v>
      </c>
      <c r="G47" s="17" t="n">
        <f aca="false">(G12*Assumptions!$B$12+G13*Assumptions!$C$12+G14*Assumptions!$D$12)*12</f>
        <v>17843.109497388</v>
      </c>
      <c r="H47" s="17" t="n">
        <f aca="false">(H12*Assumptions!$B$12+H13*Assumptions!$C$12+H14*Assumptions!$D$12)*12</f>
        <v>39687.1319759397</v>
      </c>
      <c r="I47" s="17" t="n">
        <f aca="false">(I12*Assumptions!$B$12+I13*Assumptions!$C$12+I14*Assumptions!$D$12)*12</f>
        <v>61340.2025082984</v>
      </c>
      <c r="J47" s="17" t="n">
        <f aca="false">(J12*Assumptions!$B$12+J13*Assumptions!$C$12+J14*Assumptions!$D$12)*12</f>
        <v>82803.9903220885</v>
      </c>
      <c r="K47" s="17" t="n">
        <f aca="false">(K12*Assumptions!$B$12+K13*Assumptions!$C$12+K14*Assumptions!$D$12)*12</f>
        <v>104080.150053196</v>
      </c>
      <c r="L47" s="17" t="n">
        <f aca="false">(L12*Assumptions!$B$12+L13*Assumptions!$C$12+L14*Assumptions!$D$12)*12</f>
        <v>125170.321873325</v>
      </c>
      <c r="M47" s="17" t="n">
        <f aca="false">(M12*Assumptions!$B$12+M13*Assumptions!$C$12+M14*Assumptions!$D$12)*12</f>
        <v>146076.131616434</v>
      </c>
      <c r="N47" s="17" t="n">
        <f aca="false">(N12*Assumptions!$B$12+N13*Assumptions!$C$12+N14*Assumptions!$D$12)*12</f>
        <v>172799.190904076</v>
      </c>
      <c r="O47" s="17" t="n">
        <f aca="false">(O12*Assumptions!$B$12+O13*Assumptions!$C$12+O14*Assumptions!$D$12)*12</f>
        <v>199288.647603906</v>
      </c>
      <c r="P47" s="17" t="n">
        <f aca="false">(P12*Assumptions!$B$12+P13*Assumptions!$C$12+P14*Assumptions!$D$12)*12</f>
        <v>225546.543778865</v>
      </c>
      <c r="Q47" s="17" t="n">
        <f aca="false">(Q12*Assumptions!$B$12+Q13*Assumptions!$C$12+Q14*Assumptions!$D$12)*12</f>
        <v>267574.903640974</v>
      </c>
      <c r="R47" s="17" t="n">
        <f aca="false">(R12*Assumptions!$B$12+R13*Assumptions!$C$12+R14*Assumptions!$D$12)*12</f>
        <v>309235.867932104</v>
      </c>
      <c r="S47" s="17" t="n">
        <f aca="false">(S12*Assumptions!$B$12+S13*Assumptions!$C$12+S14*Assumptions!$D$12)*12</f>
        <v>350532.648281404</v>
      </c>
      <c r="T47" s="17" t="n">
        <f aca="false">(T12*Assumptions!$B$12+T13*Assumptions!$C$12+T14*Assumptions!$D$12)*12</f>
        <v>425468.428243208</v>
      </c>
      <c r="U47" s="17" t="n">
        <f aca="false">(U12*Assumptions!$B$12+U13*Assumptions!$C$12+U14*Assumptions!$D$12)*12</f>
        <v>499749.14877</v>
      </c>
      <c r="V47" s="17" t="n">
        <f aca="false">(V12*Assumptions!$B$12+V13*Assumptions!$C$12+V14*Assumptions!$D$12)*12</f>
        <v>573380.536136512</v>
      </c>
      <c r="W47" s="17" t="n">
        <f aca="false">(W12*Assumptions!$B$12+W13*Assumptions!$C$12+W14*Assumptions!$D$12)*12</f>
        <v>612368.266560611</v>
      </c>
      <c r="X47" s="17" t="n">
        <f aca="false">(X12*Assumptions!$B$12+X13*Assumptions!$C$12+X14*Assumptions!$D$12)*12</f>
        <v>651015.181413336</v>
      </c>
      <c r="Y47" s="17" t="n">
        <f aca="false">(Y12*Assumptions!$B$12+Y13*Assumptions!$C$12+Y14*Assumptions!$D$12)*12</f>
        <v>689324.259971819</v>
      </c>
      <c r="Z47" s="17" t="n">
        <f aca="false">(Z12*Assumptions!$B$12+Z13*Assumptions!$C$12+Z14*Assumptions!$D$12)*12</f>
        <v>783298.455469511</v>
      </c>
      <c r="AA47" s="17" t="n">
        <f aca="false">(AA12*Assumptions!$B$12+AA13*Assumptions!$C$12+AA14*Assumptions!$D$12)*12</f>
        <v>876451.165110382</v>
      </c>
      <c r="AB47" s="17" t="n">
        <f aca="false">(AB12*Assumptions!$B$12+AB13*Assumptions!$C$12+AB14*Assumptions!$D$12)*12</f>
        <v>968789.570004197</v>
      </c>
      <c r="AC47" s="17" t="n">
        <f aca="false">(AC12*Assumptions!$B$12+AC13*Assumptions!$C$12+AC14*Assumptions!$D$12)*12</f>
        <v>1026320.78848625</v>
      </c>
      <c r="AD47" s="17" t="n">
        <f aca="false">(AD12*Assumptions!$B$12+AD13*Assumptions!$C$12+AD14*Assumptions!$D$12)*12</f>
        <v>1083349.09143859</v>
      </c>
      <c r="AE47" s="17" t="n">
        <f aca="false">(AE12*Assumptions!$B$12+AE13*Assumptions!$C$12+AE14*Assumptions!$D$12)*12</f>
        <v>1139878.87515311</v>
      </c>
      <c r="AF47" s="17" t="n">
        <f aca="false">(AF12*Assumptions!$B$12+AF13*Assumptions!$C$12+AF14*Assumptions!$D$12)*12</f>
        <v>1245914.49749104</v>
      </c>
      <c r="AG47" s="17" t="n">
        <f aca="false">(AG12*Assumptions!$B$12+AG13*Assumptions!$C$12+AG14*Assumptions!$D$12)*12</f>
        <v>1351023.19767116</v>
      </c>
      <c r="AH47" s="17" t="n">
        <f aca="false">(AH12*Assumptions!$B$12+AH13*Assumptions!$C$12+AH14*Assumptions!$D$12)*12</f>
        <v>1455213.07848635</v>
      </c>
      <c r="AI47" s="17" t="n">
        <f aca="false">(AI12*Assumptions!$B$12+AI13*Assumptions!$C$12+AI14*Assumptions!$D$12)*12</f>
        <v>1564492.17189803</v>
      </c>
      <c r="AJ47" s="17" t="n">
        <f aca="false">(AJ12*Assumptions!$B$12+AJ13*Assumptions!$C$12+AJ14*Assumptions!$D$12)*12</f>
        <v>1672815.98998963</v>
      </c>
      <c r="AK47" s="17" t="n">
        <f aca="false">(AK12*Assumptions!$B$12+AK13*Assumptions!$C$12+AK14*Assumptions!$D$12)*12</f>
        <v>1780192.88340635</v>
      </c>
    </row>
    <row r="48" customFormat="false" ht="15" hidden="false" customHeight="false" outlineLevel="0" collapsed="false">
      <c r="A48" s="3" t="s">
        <v>246</v>
      </c>
      <c r="B48" s="20" t="n">
        <f aca="false">IF(AND(B42&gt;=0,C48&lt;&gt;999),B$2,999)</f>
        <v>999</v>
      </c>
      <c r="C48" s="20" t="n">
        <f aca="false">IF(AND(C42&gt;=0,D48&lt;&gt;999),C$2,999)</f>
        <v>999</v>
      </c>
      <c r="D48" s="20" t="n">
        <f aca="false">IF(AND(D42&gt;=0,E48&lt;&gt;999),D$2,999)</f>
        <v>999</v>
      </c>
      <c r="E48" s="20" t="n">
        <f aca="false">IF(AND(E42&gt;=0,F48&lt;&gt;999),E$2,999)</f>
        <v>999</v>
      </c>
      <c r="F48" s="20" t="n">
        <f aca="false">IF(AND(F42&gt;=0,G48&lt;&gt;999),F$2,999)</f>
        <v>999</v>
      </c>
      <c r="G48" s="20" t="n">
        <f aca="false">IF(AND(G42&gt;=0,H48&lt;&gt;999),G$2,999)</f>
        <v>999</v>
      </c>
      <c r="H48" s="20" t="n">
        <f aca="false">IF(AND(H42&gt;=0,I48&lt;&gt;999),H$2,999)</f>
        <v>999</v>
      </c>
      <c r="I48" s="20" t="n">
        <f aca="false">IF(AND(I42&gt;=0,J48&lt;&gt;999),I$2,999)</f>
        <v>999</v>
      </c>
      <c r="J48" s="20" t="n">
        <f aca="false">IF(AND(J42&gt;=0,K48&lt;&gt;999),J$2,999)</f>
        <v>999</v>
      </c>
      <c r="K48" s="20" t="n">
        <f aca="false">IF(AND(K42&gt;=0,L48&lt;&gt;999),K$2,999)</f>
        <v>999</v>
      </c>
      <c r="L48" s="20" t="n">
        <f aca="false">IF(AND(L42&gt;=0,M48&lt;&gt;999),L$2,999)</f>
        <v>999</v>
      </c>
      <c r="M48" s="20" t="n">
        <f aca="false">IF(AND(M42&gt;=0,N48&lt;&gt;999),M$2,999)</f>
        <v>999</v>
      </c>
      <c r="N48" s="20" t="n">
        <f aca="false">IF(AND(N42&gt;=0,O48&lt;&gt;999),N$2,999)</f>
        <v>999</v>
      </c>
      <c r="O48" s="20" t="n">
        <f aca="false">IF(AND(O42&gt;=0,P48&lt;&gt;999),O$2,999)</f>
        <v>999</v>
      </c>
      <c r="P48" s="20" t="n">
        <f aca="false">IF(AND(P42&gt;=0,Q48&lt;&gt;999),P$2,999)</f>
        <v>999</v>
      </c>
      <c r="Q48" s="20" t="n">
        <f aca="false">IF(AND(Q42&gt;=0,R48&lt;&gt;999),Q$2,999)</f>
        <v>999</v>
      </c>
      <c r="R48" s="20" t="n">
        <f aca="false">IF(AND(R42&gt;=0,S48&lt;&gt;999),R$2,999)</f>
        <v>999</v>
      </c>
      <c r="S48" s="20" t="n">
        <f aca="false">IF(AND(S42&gt;=0,T48&lt;&gt;999),S$2,999)</f>
        <v>999</v>
      </c>
      <c r="T48" s="20" t="n">
        <f aca="false">IF(AND(T42&gt;=0,U48&lt;&gt;999),T$2,999)</f>
        <v>999</v>
      </c>
      <c r="U48" s="20" t="n">
        <f aca="false">IF(AND(U42&gt;=0,V48&lt;&gt;999),U$2,999)</f>
        <v>999</v>
      </c>
      <c r="V48" s="20" t="n">
        <f aca="false">IF(AND(V42&gt;=0,W48&lt;&gt;999),V$2,999)</f>
        <v>999</v>
      </c>
      <c r="W48" s="20" t="n">
        <f aca="false">IF(AND(W42&gt;=0,X48&lt;&gt;999),W$2,999)</f>
        <v>999</v>
      </c>
      <c r="X48" s="20" t="n">
        <f aca="false">IF(AND(X42&gt;=0,Y48&lt;&gt;999),X$2,999)</f>
        <v>23</v>
      </c>
      <c r="Y48" s="20" t="n">
        <f aca="false">IF(AND(Y42&gt;=0,Z48&lt;&gt;999),Y$2,999)</f>
        <v>24</v>
      </c>
      <c r="Z48" s="20" t="n">
        <f aca="false">IF(AND(Z42&gt;=0,AA48&lt;&gt;999),Z$2,999)</f>
        <v>25</v>
      </c>
      <c r="AA48" s="20" t="n">
        <f aca="false">IF(AND(AA42&gt;=0,AB48&lt;&gt;999),AA$2,999)</f>
        <v>26</v>
      </c>
      <c r="AB48" s="20" t="n">
        <f aca="false">IF(AND(AB42&gt;=0,AC48&lt;&gt;999),AB$2,999)</f>
        <v>27</v>
      </c>
      <c r="AC48" s="20" t="n">
        <f aca="false">IF(AND(AC42&gt;=0,AD48&lt;&gt;999),AC$2,999)</f>
        <v>28</v>
      </c>
      <c r="AD48" s="20" t="n">
        <f aca="false">IF(AND(AD42&gt;=0,AE48&lt;&gt;999),AD$2,999)</f>
        <v>29</v>
      </c>
      <c r="AE48" s="20" t="n">
        <f aca="false">IF(AND(AE42&gt;=0,AF48&lt;&gt;999),AE$2,999)</f>
        <v>30</v>
      </c>
      <c r="AF48" s="20" t="n">
        <f aca="false">IF(AND(AF42&gt;=0,AG48&lt;&gt;999),AF$2,999)</f>
        <v>31</v>
      </c>
      <c r="AG48" s="20" t="n">
        <f aca="false">IF(AND(AG42&gt;=0,AH48&lt;&gt;999),AG$2,999)</f>
        <v>32</v>
      </c>
      <c r="AH48" s="20" t="n">
        <f aca="false">IF(AND(AH42&gt;=0,AI48&lt;&gt;999),AH$2,999)</f>
        <v>33</v>
      </c>
      <c r="AI48" s="20" t="n">
        <f aca="false">IF(AND(AI42&gt;=0,AJ48&lt;&gt;999),AI$2,999)</f>
        <v>34</v>
      </c>
      <c r="AJ48" s="20" t="n">
        <f aca="false">IF(AND(AJ42&gt;=0,AK48&lt;&gt;999),AJ$2,999)</f>
        <v>35</v>
      </c>
      <c r="AK48" s="20" t="n">
        <f aca="false">IF(AK42&gt;=0,AK$2,999)</f>
        <v>36</v>
      </c>
    </row>
    <row r="49" customFormat="false" ht="15" hidden="false" customHeight="false" outlineLevel="0" collapsed="false">
      <c r="A49" s="3" t="s">
        <v>247</v>
      </c>
      <c r="B49" s="20" t="n">
        <f aca="false">IF('Opex Plan'!$C$13&lt;=0,1,0)</f>
        <v>0</v>
      </c>
      <c r="C49" s="20" t="n">
        <f aca="false">IF(B49=1,1,IF(B15&gt;='Opex Plan'!$C$13,1,0))</f>
        <v>0</v>
      </c>
      <c r="D49" s="20" t="n">
        <f aca="false">IF(C49=1,1,IF(C15&gt;='Opex Plan'!$C$13,1,0))</f>
        <v>0</v>
      </c>
      <c r="E49" s="20" t="n">
        <f aca="false">IF(D49=1,1,IF(D15&gt;='Opex Plan'!$C$13,1,0))</f>
        <v>0</v>
      </c>
      <c r="F49" s="20" t="n">
        <f aca="false">IF(E49=1,1,IF(E15&gt;='Opex Plan'!$C$13,1,0))</f>
        <v>0</v>
      </c>
      <c r="G49" s="20" t="n">
        <f aca="false">IF(F49=1,1,IF(F15&gt;='Opex Plan'!$C$13,1,0))</f>
        <v>0</v>
      </c>
      <c r="H49" s="20" t="n">
        <f aca="false">IF(G49=1,1,IF(G15&gt;='Opex Plan'!$C$13,1,0))</f>
        <v>0</v>
      </c>
      <c r="I49" s="20" t="n">
        <f aca="false">IF(H49=1,1,IF(H15&gt;='Opex Plan'!$C$13,1,0))</f>
        <v>0</v>
      </c>
      <c r="J49" s="20" t="n">
        <f aca="false">IF(I49=1,1,IF(I15&gt;='Opex Plan'!$C$13,1,0))</f>
        <v>0</v>
      </c>
      <c r="K49" s="20" t="n">
        <f aca="false">IF(J49=1,1,IF(J15&gt;='Opex Plan'!$C$13,1,0))</f>
        <v>0</v>
      </c>
      <c r="L49" s="20" t="n">
        <f aca="false">IF(K49=1,1,IF(K15&gt;='Opex Plan'!$C$13,1,0))</f>
        <v>0</v>
      </c>
      <c r="M49" s="20" t="n">
        <f aca="false">IF(L49=1,1,IF(L15&gt;='Opex Plan'!$C$13,1,0))</f>
        <v>0</v>
      </c>
      <c r="N49" s="20" t="n">
        <f aca="false">IF(M49=1,1,IF(M15&gt;='Opex Plan'!$C$13,1,0))</f>
        <v>0</v>
      </c>
      <c r="O49" s="20" t="n">
        <f aca="false">IF(N49=1,1,IF(N15&gt;='Opex Plan'!$C$13,1,0))</f>
        <v>1</v>
      </c>
      <c r="P49" s="20" t="n">
        <f aca="false">IF(O49=1,1,IF(O15&gt;='Opex Plan'!$C$13,1,0))</f>
        <v>1</v>
      </c>
      <c r="Q49" s="20" t="n">
        <f aca="false">IF(P49=1,1,IF(P15&gt;='Opex Plan'!$C$13,1,0))</f>
        <v>1</v>
      </c>
      <c r="R49" s="20" t="n">
        <f aca="false">IF(Q49=1,1,IF(Q15&gt;='Opex Plan'!$C$13,1,0))</f>
        <v>1</v>
      </c>
      <c r="S49" s="20" t="n">
        <f aca="false">IF(R49=1,1,IF(R15&gt;='Opex Plan'!$C$13,1,0))</f>
        <v>1</v>
      </c>
      <c r="T49" s="20" t="n">
        <f aca="false">IF(S49=1,1,IF(S15&gt;='Opex Plan'!$C$13,1,0))</f>
        <v>1</v>
      </c>
      <c r="U49" s="20" t="n">
        <f aca="false">IF(T49=1,1,IF(T15&gt;='Opex Plan'!$C$13,1,0))</f>
        <v>1</v>
      </c>
      <c r="V49" s="20" t="n">
        <f aca="false">IF(U49=1,1,IF(U15&gt;='Opex Plan'!$C$13,1,0))</f>
        <v>1</v>
      </c>
      <c r="W49" s="20" t="n">
        <f aca="false">IF(V49=1,1,IF(V15&gt;='Opex Plan'!$C$13,1,0))</f>
        <v>1</v>
      </c>
      <c r="X49" s="20" t="n">
        <f aca="false">IF(W49=1,1,IF(W15&gt;='Opex Plan'!$C$13,1,0))</f>
        <v>1</v>
      </c>
      <c r="Y49" s="20" t="n">
        <f aca="false">IF(X49=1,1,IF(X15&gt;='Opex Plan'!$C$13,1,0))</f>
        <v>1</v>
      </c>
      <c r="Z49" s="20" t="n">
        <f aca="false">IF(Y49=1,1,IF(Y15&gt;='Opex Plan'!$C$13,1,0))</f>
        <v>1</v>
      </c>
      <c r="AA49" s="20" t="n">
        <f aca="false">IF(Z49=1,1,IF(Z15&gt;='Opex Plan'!$C$13,1,0))</f>
        <v>1</v>
      </c>
      <c r="AB49" s="20" t="n">
        <f aca="false">IF(AA49=1,1,IF(AA15&gt;='Opex Plan'!$C$13,1,0))</f>
        <v>1</v>
      </c>
      <c r="AC49" s="20" t="n">
        <f aca="false">IF(AB49=1,1,IF(AB15&gt;='Opex Plan'!$C$13,1,0))</f>
        <v>1</v>
      </c>
      <c r="AD49" s="20" t="n">
        <f aca="false">IF(AC49=1,1,IF(AC15&gt;='Opex Plan'!$C$13,1,0))</f>
        <v>1</v>
      </c>
      <c r="AE49" s="20" t="n">
        <f aca="false">IF(AD49=1,1,IF(AD15&gt;='Opex Plan'!$C$13,1,0))</f>
        <v>1</v>
      </c>
      <c r="AF49" s="20" t="n">
        <f aca="false">IF(AE49=1,1,IF(AE15&gt;='Opex Plan'!$C$13,1,0))</f>
        <v>1</v>
      </c>
      <c r="AG49" s="20" t="n">
        <f aca="false">IF(AF49=1,1,IF(AF15&gt;='Opex Plan'!$C$13,1,0))</f>
        <v>1</v>
      </c>
      <c r="AH49" s="20" t="n">
        <f aca="false">IF(AG49=1,1,IF(AG15&gt;='Opex Plan'!$C$13,1,0))</f>
        <v>1</v>
      </c>
      <c r="AI49" s="20" t="n">
        <f aca="false">IF(AH49=1,1,IF(AH15&gt;='Opex Plan'!$C$13,1,0))</f>
        <v>1</v>
      </c>
      <c r="AJ49" s="20" t="n">
        <f aca="false">IF(AI49=1,1,IF(AI15&gt;='Opex Plan'!$C$13,1,0))</f>
        <v>1</v>
      </c>
      <c r="AK49" s="20" t="n">
        <f aca="false">IF(AJ49=1,1,IF(AJ15&gt;='Opex Plan'!$C$13,1,0))</f>
        <v>1</v>
      </c>
    </row>
    <row r="50" customFormat="false" ht="15" hidden="false" customHeight="false" outlineLevel="0" collapsed="false">
      <c r="A50" s="3" t="s">
        <v>248</v>
      </c>
      <c r="B50" s="20" t="n">
        <f aca="false">IF('Opex Plan'!$C$14&lt;=0,1,0)</f>
        <v>0</v>
      </c>
      <c r="C50" s="20" t="n">
        <f aca="false">IF(B50=1,1,IF(B15&gt;='Opex Plan'!$C$14,1,0))</f>
        <v>0</v>
      </c>
      <c r="D50" s="20" t="n">
        <f aca="false">IF(C50=1,1,IF(C15&gt;='Opex Plan'!$C$14,1,0))</f>
        <v>0</v>
      </c>
      <c r="E50" s="20" t="n">
        <f aca="false">IF(D50=1,1,IF(D15&gt;='Opex Plan'!$C$14,1,0))</f>
        <v>0</v>
      </c>
      <c r="F50" s="20" t="n">
        <f aca="false">IF(E50=1,1,IF(E15&gt;='Opex Plan'!$C$14,1,0))</f>
        <v>0</v>
      </c>
      <c r="G50" s="20" t="n">
        <f aca="false">IF(F50=1,1,IF(F15&gt;='Opex Plan'!$C$14,1,0))</f>
        <v>0</v>
      </c>
      <c r="H50" s="20" t="n">
        <f aca="false">IF(G50=1,1,IF(G15&gt;='Opex Plan'!$C$14,1,0))</f>
        <v>0</v>
      </c>
      <c r="I50" s="20" t="n">
        <f aca="false">IF(H50=1,1,IF(H15&gt;='Opex Plan'!$C$14,1,0))</f>
        <v>0</v>
      </c>
      <c r="J50" s="20" t="n">
        <f aca="false">IF(I50=1,1,IF(I15&gt;='Opex Plan'!$C$14,1,0))</f>
        <v>0</v>
      </c>
      <c r="K50" s="20" t="n">
        <f aca="false">IF(J50=1,1,IF(J15&gt;='Opex Plan'!$C$14,1,0))</f>
        <v>0</v>
      </c>
      <c r="L50" s="20" t="n">
        <f aca="false">IF(K50=1,1,IF(K15&gt;='Opex Plan'!$C$14,1,0))</f>
        <v>0</v>
      </c>
      <c r="M50" s="20" t="n">
        <f aca="false">IF(L50=1,1,IF(L15&gt;='Opex Plan'!$C$14,1,0))</f>
        <v>0</v>
      </c>
      <c r="N50" s="20" t="n">
        <f aca="false">IF(M50=1,1,IF(M15&gt;='Opex Plan'!$C$14,1,0))</f>
        <v>0</v>
      </c>
      <c r="O50" s="20" t="n">
        <f aca="false">IF(N50=1,1,IF(N15&gt;='Opex Plan'!$C$14,1,0))</f>
        <v>0</v>
      </c>
      <c r="P50" s="20" t="n">
        <f aca="false">IF(O50=1,1,IF(O15&gt;='Opex Plan'!$C$14,1,0))</f>
        <v>0</v>
      </c>
      <c r="Q50" s="20" t="n">
        <f aca="false">IF(P50=1,1,IF(P15&gt;='Opex Plan'!$C$14,1,0))</f>
        <v>0</v>
      </c>
      <c r="R50" s="20" t="n">
        <f aca="false">IF(Q50=1,1,IF(Q15&gt;='Opex Plan'!$C$14,1,0))</f>
        <v>1</v>
      </c>
      <c r="S50" s="20" t="n">
        <f aca="false">IF(R50=1,1,IF(R15&gt;='Opex Plan'!$C$14,1,0))</f>
        <v>1</v>
      </c>
      <c r="T50" s="20" t="n">
        <f aca="false">IF(S50=1,1,IF(S15&gt;='Opex Plan'!$C$14,1,0))</f>
        <v>1</v>
      </c>
      <c r="U50" s="20" t="n">
        <f aca="false">IF(T50=1,1,IF(T15&gt;='Opex Plan'!$C$14,1,0))</f>
        <v>1</v>
      </c>
      <c r="V50" s="20" t="n">
        <f aca="false">IF(U50=1,1,IF(U15&gt;='Opex Plan'!$C$14,1,0))</f>
        <v>1</v>
      </c>
      <c r="W50" s="20" t="n">
        <f aca="false">IF(V50=1,1,IF(V15&gt;='Opex Plan'!$C$14,1,0))</f>
        <v>1</v>
      </c>
      <c r="X50" s="20" t="n">
        <f aca="false">IF(W50=1,1,IF(W15&gt;='Opex Plan'!$C$14,1,0))</f>
        <v>1</v>
      </c>
      <c r="Y50" s="20" t="n">
        <f aca="false">IF(X50=1,1,IF(X15&gt;='Opex Plan'!$C$14,1,0))</f>
        <v>1</v>
      </c>
      <c r="Z50" s="20" t="n">
        <f aca="false">IF(Y50=1,1,IF(Y15&gt;='Opex Plan'!$C$14,1,0))</f>
        <v>1</v>
      </c>
      <c r="AA50" s="20" t="n">
        <f aca="false">IF(Z50=1,1,IF(Z15&gt;='Opex Plan'!$C$14,1,0))</f>
        <v>1</v>
      </c>
      <c r="AB50" s="20" t="n">
        <f aca="false">IF(AA50=1,1,IF(AA15&gt;='Opex Plan'!$C$14,1,0))</f>
        <v>1</v>
      </c>
      <c r="AC50" s="20" t="n">
        <f aca="false">IF(AB50=1,1,IF(AB15&gt;='Opex Plan'!$C$14,1,0))</f>
        <v>1</v>
      </c>
      <c r="AD50" s="20" t="n">
        <f aca="false">IF(AC50=1,1,IF(AC15&gt;='Opex Plan'!$C$14,1,0))</f>
        <v>1</v>
      </c>
      <c r="AE50" s="20" t="n">
        <f aca="false">IF(AD50=1,1,IF(AD15&gt;='Opex Plan'!$C$14,1,0))</f>
        <v>1</v>
      </c>
      <c r="AF50" s="20" t="n">
        <f aca="false">IF(AE50=1,1,IF(AE15&gt;='Opex Plan'!$C$14,1,0))</f>
        <v>1</v>
      </c>
      <c r="AG50" s="20" t="n">
        <f aca="false">IF(AF50=1,1,IF(AF15&gt;='Opex Plan'!$C$14,1,0))</f>
        <v>1</v>
      </c>
      <c r="AH50" s="20" t="n">
        <f aca="false">IF(AG50=1,1,IF(AG15&gt;='Opex Plan'!$C$14,1,0))</f>
        <v>1</v>
      </c>
      <c r="AI50" s="20" t="n">
        <f aca="false">IF(AH50=1,1,IF(AH15&gt;='Opex Plan'!$C$14,1,0))</f>
        <v>1</v>
      </c>
      <c r="AJ50" s="20" t="n">
        <f aca="false">IF(AI50=1,1,IF(AI15&gt;='Opex Plan'!$C$14,1,0))</f>
        <v>1</v>
      </c>
      <c r="AK50" s="20" t="n">
        <f aca="false">IF(AJ50=1,1,IF(AJ15&gt;='Opex Plan'!$C$14,1,0))</f>
        <v>1</v>
      </c>
    </row>
    <row r="51" customFormat="false" ht="15" hidden="false" customHeight="false" outlineLevel="0" collapsed="false">
      <c r="A51" s="3" t="s">
        <v>249</v>
      </c>
      <c r="B51" s="20" t="n">
        <f aca="false">IF('Opex Plan'!$C$15&lt;=0,1,0)</f>
        <v>0</v>
      </c>
      <c r="C51" s="20" t="n">
        <f aca="false">IF(B51=1,1,IF(B15&gt;='Opex Plan'!$C$15,1,0))</f>
        <v>0</v>
      </c>
      <c r="D51" s="20" t="n">
        <f aca="false">IF(C51=1,1,IF(C15&gt;='Opex Plan'!$C$15,1,0))</f>
        <v>0</v>
      </c>
      <c r="E51" s="20" t="n">
        <f aca="false">IF(D51=1,1,IF(D15&gt;='Opex Plan'!$C$15,1,0))</f>
        <v>0</v>
      </c>
      <c r="F51" s="20" t="n">
        <f aca="false">IF(E51=1,1,IF(E15&gt;='Opex Plan'!$C$15,1,0))</f>
        <v>0</v>
      </c>
      <c r="G51" s="20" t="n">
        <f aca="false">IF(F51=1,1,IF(F15&gt;='Opex Plan'!$C$15,1,0))</f>
        <v>0</v>
      </c>
      <c r="H51" s="20" t="n">
        <f aca="false">IF(G51=1,1,IF(G15&gt;='Opex Plan'!$C$15,1,0))</f>
        <v>0</v>
      </c>
      <c r="I51" s="20" t="n">
        <f aca="false">IF(H51=1,1,IF(H15&gt;='Opex Plan'!$C$15,1,0))</f>
        <v>0</v>
      </c>
      <c r="J51" s="20" t="n">
        <f aca="false">IF(I51=1,1,IF(I15&gt;='Opex Plan'!$C$15,1,0))</f>
        <v>0</v>
      </c>
      <c r="K51" s="20" t="n">
        <f aca="false">IF(J51=1,1,IF(J15&gt;='Opex Plan'!$C$15,1,0))</f>
        <v>0</v>
      </c>
      <c r="L51" s="20" t="n">
        <f aca="false">IF(K51=1,1,IF(K15&gt;='Opex Plan'!$C$15,1,0))</f>
        <v>0</v>
      </c>
      <c r="M51" s="20" t="n">
        <f aca="false">IF(L51=1,1,IF(L15&gt;='Opex Plan'!$C$15,1,0))</f>
        <v>0</v>
      </c>
      <c r="N51" s="20" t="n">
        <f aca="false">IF(M51=1,1,IF(M15&gt;='Opex Plan'!$C$15,1,0))</f>
        <v>0</v>
      </c>
      <c r="O51" s="20" t="n">
        <f aca="false">IF(N51=1,1,IF(N15&gt;='Opex Plan'!$C$15,1,0))</f>
        <v>0</v>
      </c>
      <c r="P51" s="20" t="n">
        <f aca="false">IF(O51=1,1,IF(O15&gt;='Opex Plan'!$C$15,1,0))</f>
        <v>0</v>
      </c>
      <c r="Q51" s="20" t="n">
        <f aca="false">IF(P51=1,1,IF(P15&gt;='Opex Plan'!$C$15,1,0))</f>
        <v>0</v>
      </c>
      <c r="R51" s="20" t="n">
        <f aca="false">IF(Q51=1,1,IF(Q15&gt;='Opex Plan'!$C$15,1,0))</f>
        <v>0</v>
      </c>
      <c r="S51" s="20" t="n">
        <f aca="false">IF(R51=1,1,IF(R15&gt;='Opex Plan'!$C$15,1,0))</f>
        <v>0</v>
      </c>
      <c r="T51" s="20" t="n">
        <f aca="false">IF(S51=1,1,IF(S15&gt;='Opex Plan'!$C$15,1,0))</f>
        <v>0</v>
      </c>
      <c r="U51" s="20" t="n">
        <f aca="false">IF(T51=1,1,IF(T15&gt;='Opex Plan'!$C$15,1,0))</f>
        <v>0</v>
      </c>
      <c r="V51" s="20" t="n">
        <f aca="false">IF(U51=1,1,IF(U15&gt;='Opex Plan'!$C$15,1,0))</f>
        <v>0</v>
      </c>
      <c r="W51" s="20" t="n">
        <f aca="false">IF(V51=1,1,IF(V15&gt;='Opex Plan'!$C$15,1,0))</f>
        <v>0</v>
      </c>
      <c r="X51" s="20" t="n">
        <f aca="false">IF(W51=1,1,IF(W15&gt;='Opex Plan'!$C$15,1,0))</f>
        <v>0</v>
      </c>
      <c r="Y51" s="20" t="n">
        <f aca="false">IF(X51=1,1,IF(X15&gt;='Opex Plan'!$C$15,1,0))</f>
        <v>0</v>
      </c>
      <c r="Z51" s="20" t="n">
        <f aca="false">IF(Y51=1,1,IF(Y15&gt;='Opex Plan'!$C$15,1,0))</f>
        <v>0</v>
      </c>
      <c r="AA51" s="20" t="n">
        <f aca="false">IF(Z51=1,1,IF(Z15&gt;='Opex Plan'!$C$15,1,0))</f>
        <v>0</v>
      </c>
      <c r="AB51" s="20" t="n">
        <f aca="false">IF(AA51=1,1,IF(AA15&gt;='Opex Plan'!$C$15,1,0))</f>
        <v>0</v>
      </c>
      <c r="AC51" s="20" t="n">
        <f aca="false">IF(AB51=1,1,IF(AB15&gt;='Opex Plan'!$C$15,1,0))</f>
        <v>1</v>
      </c>
      <c r="AD51" s="20" t="n">
        <f aca="false">IF(AC51=1,1,IF(AC15&gt;='Opex Plan'!$C$15,1,0))</f>
        <v>1</v>
      </c>
      <c r="AE51" s="20" t="n">
        <f aca="false">IF(AD51=1,1,IF(AD15&gt;='Opex Plan'!$C$15,1,0))</f>
        <v>1</v>
      </c>
      <c r="AF51" s="20" t="n">
        <f aca="false">IF(AE51=1,1,IF(AE15&gt;='Opex Plan'!$C$15,1,0))</f>
        <v>1</v>
      </c>
      <c r="AG51" s="20" t="n">
        <f aca="false">IF(AF51=1,1,IF(AF15&gt;='Opex Plan'!$C$15,1,0))</f>
        <v>1</v>
      </c>
      <c r="AH51" s="20" t="n">
        <f aca="false">IF(AG51=1,1,IF(AG15&gt;='Opex Plan'!$C$15,1,0))</f>
        <v>1</v>
      </c>
      <c r="AI51" s="20" t="n">
        <f aca="false">IF(AH51=1,1,IF(AH15&gt;='Opex Plan'!$C$15,1,0))</f>
        <v>1</v>
      </c>
      <c r="AJ51" s="20" t="n">
        <f aca="false">IF(AI51=1,1,IF(AI15&gt;='Opex Plan'!$C$15,1,0))</f>
        <v>1</v>
      </c>
      <c r="AK51" s="20" t="n">
        <f aca="false">IF(AJ51=1,1,IF(AJ15&gt;='Opex Plan'!$C$15,1,0))</f>
        <v>1</v>
      </c>
    </row>
    <row r="52" customFormat="false" ht="15" hidden="false" customHeight="false" outlineLevel="0" collapsed="false">
      <c r="A52" s="3" t="s">
        <v>250</v>
      </c>
      <c r="B52" s="20" t="n">
        <f aca="false">IF('Opex Plan'!$C$16&lt;=0,1,0)</f>
        <v>0</v>
      </c>
      <c r="C52" s="20" t="n">
        <f aca="false">IF(B52=1,1,IF(B15&gt;='Opex Plan'!$C$16,1,0))</f>
        <v>0</v>
      </c>
      <c r="D52" s="20" t="n">
        <f aca="false">IF(C52=1,1,IF(C15&gt;='Opex Plan'!$C$16,1,0))</f>
        <v>0</v>
      </c>
      <c r="E52" s="20" t="n">
        <f aca="false">IF(D52=1,1,IF(D15&gt;='Opex Plan'!$C$16,1,0))</f>
        <v>0</v>
      </c>
      <c r="F52" s="20" t="n">
        <f aca="false">IF(E52=1,1,IF(E15&gt;='Opex Plan'!$C$16,1,0))</f>
        <v>0</v>
      </c>
      <c r="G52" s="20" t="n">
        <f aca="false">IF(F52=1,1,IF(F15&gt;='Opex Plan'!$C$16,1,0))</f>
        <v>0</v>
      </c>
      <c r="H52" s="20" t="n">
        <f aca="false">IF(G52=1,1,IF(G15&gt;='Opex Plan'!$C$16,1,0))</f>
        <v>0</v>
      </c>
      <c r="I52" s="20" t="n">
        <f aca="false">IF(H52=1,1,IF(H15&gt;='Opex Plan'!$C$16,1,0))</f>
        <v>0</v>
      </c>
      <c r="J52" s="20" t="n">
        <f aca="false">IF(I52=1,1,IF(I15&gt;='Opex Plan'!$C$16,1,0))</f>
        <v>0</v>
      </c>
      <c r="K52" s="20" t="n">
        <f aca="false">IF(J52=1,1,IF(J15&gt;='Opex Plan'!$C$16,1,0))</f>
        <v>0</v>
      </c>
      <c r="L52" s="20" t="n">
        <f aca="false">IF(K52=1,1,IF(K15&gt;='Opex Plan'!$C$16,1,0))</f>
        <v>0</v>
      </c>
      <c r="M52" s="20" t="n">
        <f aca="false">IF(L52=1,1,IF(L15&gt;='Opex Plan'!$C$16,1,0))</f>
        <v>0</v>
      </c>
      <c r="N52" s="20" t="n">
        <f aca="false">IF(M52=1,1,IF(M15&gt;='Opex Plan'!$C$16,1,0))</f>
        <v>0</v>
      </c>
      <c r="O52" s="20" t="n">
        <f aca="false">IF(N52=1,1,IF(N15&gt;='Opex Plan'!$C$16,1,0))</f>
        <v>0</v>
      </c>
      <c r="P52" s="20" t="n">
        <f aca="false">IF(O52=1,1,IF(O15&gt;='Opex Plan'!$C$16,1,0))</f>
        <v>0</v>
      </c>
      <c r="Q52" s="20" t="n">
        <f aca="false">IF(P52=1,1,IF(P15&gt;='Opex Plan'!$C$16,1,0))</f>
        <v>0</v>
      </c>
      <c r="R52" s="20" t="n">
        <f aca="false">IF(Q52=1,1,IF(Q15&gt;='Opex Plan'!$C$16,1,0))</f>
        <v>0</v>
      </c>
      <c r="S52" s="20" t="n">
        <f aca="false">IF(R52=1,1,IF(R15&gt;='Opex Plan'!$C$16,1,0))</f>
        <v>0</v>
      </c>
      <c r="T52" s="20" t="n">
        <f aca="false">IF(S52=1,1,IF(S15&gt;='Opex Plan'!$C$16,1,0))</f>
        <v>0</v>
      </c>
      <c r="U52" s="20" t="n">
        <f aca="false">IF(T52=1,1,IF(T15&gt;='Opex Plan'!$C$16,1,0))</f>
        <v>0</v>
      </c>
      <c r="V52" s="20" t="n">
        <f aca="false">IF(U52=1,1,IF(U15&gt;='Opex Plan'!$C$16,1,0))</f>
        <v>0</v>
      </c>
      <c r="W52" s="20" t="n">
        <f aca="false">IF(V52=1,1,IF(V15&gt;='Opex Plan'!$C$16,1,0))</f>
        <v>0</v>
      </c>
      <c r="X52" s="20" t="n">
        <f aca="false">IF(W52=1,1,IF(W15&gt;='Opex Plan'!$C$16,1,0))</f>
        <v>0</v>
      </c>
      <c r="Y52" s="20" t="n">
        <f aca="false">IF(X52=1,1,IF(X15&gt;='Opex Plan'!$C$16,1,0))</f>
        <v>0</v>
      </c>
      <c r="Z52" s="20" t="n">
        <f aca="false">IF(Y52=1,1,IF(Y15&gt;='Opex Plan'!$C$16,1,0))</f>
        <v>0</v>
      </c>
      <c r="AA52" s="20" t="n">
        <f aca="false">IF(Z52=1,1,IF(Z15&gt;='Opex Plan'!$C$16,1,0))</f>
        <v>0</v>
      </c>
      <c r="AB52" s="20" t="n">
        <f aca="false">IF(AA52=1,1,IF(AA15&gt;='Opex Plan'!$C$16,1,0))</f>
        <v>0</v>
      </c>
      <c r="AC52" s="20" t="n">
        <f aca="false">IF(AB52=1,1,IF(AB15&gt;='Opex Plan'!$C$16,1,0))</f>
        <v>0</v>
      </c>
      <c r="AD52" s="20" t="n">
        <f aca="false">IF(AC52=1,1,IF(AC15&gt;='Opex Plan'!$C$16,1,0))</f>
        <v>0</v>
      </c>
      <c r="AE52" s="20" t="n">
        <f aca="false">IF(AD52=1,1,IF(AD15&gt;='Opex Plan'!$C$16,1,0))</f>
        <v>0</v>
      </c>
      <c r="AF52" s="20" t="n">
        <f aca="false">IF(AE52=1,1,IF(AE15&gt;='Opex Plan'!$C$16,1,0))</f>
        <v>0</v>
      </c>
      <c r="AG52" s="20" t="n">
        <f aca="false">IF(AF52=1,1,IF(AF15&gt;='Opex Plan'!$C$16,1,0))</f>
        <v>0</v>
      </c>
      <c r="AH52" s="20" t="n">
        <f aca="false">IF(AG52=1,1,IF(AG15&gt;='Opex Plan'!$C$16,1,0))</f>
        <v>0</v>
      </c>
      <c r="AI52" s="20" t="n">
        <f aca="false">IF(AH52=1,1,IF(AH15&gt;='Opex Plan'!$C$16,1,0))</f>
        <v>0</v>
      </c>
      <c r="AJ52" s="20" t="n">
        <f aca="false">IF(AI52=1,1,IF(AI15&gt;='Opex Plan'!$C$16,1,0))</f>
        <v>1</v>
      </c>
      <c r="AK52" s="20" t="n">
        <f aca="false">IF(AJ52=1,1,IF(AJ15&gt;='Opex Plan'!$C$16,1,0))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7"/>
    <col collapsed="false" customWidth="true" hidden="false" outlineLevel="0" max="4" min="3" style="0" width="14"/>
    <col collapsed="false" customWidth="true" hidden="false" outlineLevel="0" max="5" min="5" style="0" width="90"/>
  </cols>
  <sheetData>
    <row r="1" customFormat="false" ht="17.35" hidden="false" customHeight="false" outlineLevel="0" collapsed="false">
      <c r="A1" s="1" t="s">
        <v>251</v>
      </c>
    </row>
    <row r="2" customFormat="false" ht="15" hidden="false" customHeight="false" outlineLevel="0" collapsed="false">
      <c r="A2" s="2" t="s">
        <v>252</v>
      </c>
    </row>
    <row r="4" customFormat="false" ht="15" hidden="false" customHeight="false" outlineLevel="0" collapsed="false">
      <c r="A4" s="10" t="s">
        <v>253</v>
      </c>
      <c r="B4" s="30"/>
      <c r="C4" s="30"/>
      <c r="D4" s="30"/>
      <c r="E4" s="30"/>
    </row>
    <row r="5" customFormat="false" ht="15" hidden="false" customHeight="false" outlineLevel="0" collapsed="false">
      <c r="A5" s="8" t="s">
        <v>254</v>
      </c>
      <c r="B5" s="8" t="s">
        <v>255</v>
      </c>
      <c r="C5" s="8" t="s">
        <v>256</v>
      </c>
      <c r="D5" s="8" t="s">
        <v>257</v>
      </c>
      <c r="E5" s="8" t="s">
        <v>258</v>
      </c>
    </row>
    <row r="6" customFormat="false" ht="15" hidden="false" customHeight="false" outlineLevel="0" collapsed="false">
      <c r="A6" s="3" t="s">
        <v>259</v>
      </c>
      <c r="B6" s="23" t="n">
        <v>1</v>
      </c>
      <c r="C6" s="25" t="n">
        <v>4699</v>
      </c>
      <c r="D6" s="17" t="n">
        <f aca="false">B6*C6</f>
        <v>4699</v>
      </c>
      <c r="E6" s="2" t="s">
        <v>260</v>
      </c>
    </row>
    <row r="7" customFormat="false" ht="15" hidden="false" customHeight="false" outlineLevel="0" collapsed="false">
      <c r="A7" s="3" t="s">
        <v>261</v>
      </c>
      <c r="B7" s="23" t="n">
        <v>1</v>
      </c>
      <c r="C7" s="25" t="n">
        <v>400</v>
      </c>
      <c r="D7" s="17" t="n">
        <f aca="false">B7*C7</f>
        <v>400</v>
      </c>
      <c r="E7" s="2" t="s">
        <v>262</v>
      </c>
    </row>
    <row r="8" customFormat="false" ht="15" hidden="false" customHeight="false" outlineLevel="0" collapsed="false">
      <c r="A8" s="3" t="s">
        <v>263</v>
      </c>
      <c r="B8" s="23" t="n">
        <v>1</v>
      </c>
      <c r="C8" s="25" t="n">
        <v>250</v>
      </c>
      <c r="D8" s="17" t="n">
        <f aca="false">B8*C8</f>
        <v>250</v>
      </c>
      <c r="E8" s="2" t="s">
        <v>264</v>
      </c>
    </row>
    <row r="9" customFormat="false" ht="15" hidden="false" customHeight="false" outlineLevel="0" collapsed="false">
      <c r="A9" s="3" t="s">
        <v>265</v>
      </c>
      <c r="B9" s="23" t="n">
        <v>1</v>
      </c>
      <c r="C9" s="25" t="n">
        <v>150</v>
      </c>
      <c r="D9" s="17" t="n">
        <f aca="false">B9*C9</f>
        <v>150</v>
      </c>
      <c r="E9" s="2" t="s">
        <v>266</v>
      </c>
    </row>
    <row r="10" customFormat="false" ht="15" hidden="false" customHeight="false" outlineLevel="0" collapsed="false">
      <c r="A10" s="4" t="s">
        <v>267</v>
      </c>
      <c r="D10" s="33" t="n">
        <f aca="false">SUM(D6:D9)</f>
        <v>5499</v>
      </c>
    </row>
    <row r="11" customFormat="false" ht="15" hidden="false" customHeight="false" outlineLevel="0" collapsed="false">
      <c r="A11" s="2" t="s">
        <v>268</v>
      </c>
    </row>
    <row r="13" customFormat="false" ht="15" hidden="false" customHeight="false" outlineLevel="0" collapsed="false">
      <c r="A13" s="10" t="s">
        <v>269</v>
      </c>
      <c r="B13" s="30"/>
      <c r="C13" s="30"/>
      <c r="D13" s="30"/>
      <c r="E13" s="30"/>
    </row>
    <row r="14" customFormat="false" ht="15" hidden="false" customHeight="false" outlineLevel="0" collapsed="false">
      <c r="A14" s="8" t="s">
        <v>254</v>
      </c>
      <c r="B14" s="8" t="s">
        <v>255</v>
      </c>
      <c r="C14" s="8" t="s">
        <v>256</v>
      </c>
      <c r="D14" s="8" t="s">
        <v>257</v>
      </c>
      <c r="E14" s="8" t="s">
        <v>258</v>
      </c>
    </row>
    <row r="15" customFormat="false" ht="15" hidden="false" customHeight="false" outlineLevel="0" collapsed="false">
      <c r="A15" s="3" t="s">
        <v>270</v>
      </c>
      <c r="B15" s="23" t="n">
        <v>1</v>
      </c>
      <c r="C15" s="25" t="n">
        <v>19628</v>
      </c>
      <c r="D15" s="17" t="n">
        <f aca="false">B15*C15</f>
        <v>19628</v>
      </c>
      <c r="E15" s="2" t="s">
        <v>271</v>
      </c>
    </row>
    <row r="16" customFormat="false" ht="15" hidden="false" customHeight="false" outlineLevel="0" collapsed="false">
      <c r="A16" s="3" t="s">
        <v>272</v>
      </c>
      <c r="B16" s="23" t="n">
        <v>1</v>
      </c>
      <c r="C16" s="25" t="n">
        <v>650</v>
      </c>
      <c r="D16" s="17" t="n">
        <f aca="false">B16*C16</f>
        <v>650</v>
      </c>
      <c r="E16" s="2" t="s">
        <v>264</v>
      </c>
    </row>
    <row r="17" customFormat="false" ht="15" hidden="false" customHeight="false" outlineLevel="0" collapsed="false">
      <c r="A17" s="3" t="s">
        <v>273</v>
      </c>
      <c r="B17" s="23" t="n">
        <v>1</v>
      </c>
      <c r="C17" s="25" t="n">
        <v>1100</v>
      </c>
      <c r="D17" s="17" t="n">
        <f aca="false">B17*C17</f>
        <v>1100</v>
      </c>
      <c r="E17" s="2" t="s">
        <v>274</v>
      </c>
    </row>
    <row r="18" customFormat="false" ht="15" hidden="false" customHeight="false" outlineLevel="0" collapsed="false">
      <c r="A18" s="3" t="s">
        <v>275</v>
      </c>
      <c r="B18" s="23" t="n">
        <v>1</v>
      </c>
      <c r="C18" s="25" t="n">
        <v>700</v>
      </c>
      <c r="D18" s="17" t="n">
        <f aca="false">B18*C18</f>
        <v>700</v>
      </c>
      <c r="E18" s="2" t="s">
        <v>266</v>
      </c>
    </row>
    <row r="19" customFormat="false" ht="15" hidden="false" customHeight="false" outlineLevel="0" collapsed="false">
      <c r="A19" s="3" t="s">
        <v>276</v>
      </c>
      <c r="B19" s="23" t="n">
        <v>1</v>
      </c>
      <c r="C19" s="25" t="n">
        <v>250</v>
      </c>
      <c r="D19" s="17" t="n">
        <f aca="false">B19*C19</f>
        <v>250</v>
      </c>
      <c r="E19" s="2" t="s">
        <v>266</v>
      </c>
    </row>
    <row r="20" customFormat="false" ht="15" hidden="false" customHeight="false" outlineLevel="0" collapsed="false">
      <c r="A20" s="4" t="s">
        <v>277</v>
      </c>
      <c r="D20" s="33" t="n">
        <f aca="false">SUM(D15:D19)</f>
        <v>22328</v>
      </c>
    </row>
    <row r="21" customFormat="false" ht="15" hidden="false" customHeight="false" outlineLevel="0" collapsed="false">
      <c r="A21" s="2" t="s">
        <v>278</v>
      </c>
    </row>
    <row r="23" customFormat="false" ht="15" hidden="false" customHeight="false" outlineLevel="0" collapsed="false">
      <c r="A23" s="10" t="s">
        <v>279</v>
      </c>
      <c r="B23" s="30"/>
      <c r="C23" s="30"/>
      <c r="D23" s="30"/>
      <c r="E23" s="30"/>
    </row>
    <row r="24" customFormat="false" ht="15" hidden="false" customHeight="false" outlineLevel="0" collapsed="false">
      <c r="A24" s="8" t="s">
        <v>254</v>
      </c>
      <c r="B24" s="8" t="s">
        <v>255</v>
      </c>
      <c r="C24" s="8" t="s">
        <v>256</v>
      </c>
      <c r="D24" s="8" t="s">
        <v>257</v>
      </c>
      <c r="E24" s="8" t="s">
        <v>258</v>
      </c>
    </row>
    <row r="25" customFormat="false" ht="15" hidden="false" customHeight="false" outlineLevel="0" collapsed="false">
      <c r="A25" s="3" t="s">
        <v>280</v>
      </c>
      <c r="B25" s="23" t="n">
        <v>2</v>
      </c>
      <c r="C25" s="25" t="n">
        <v>17000</v>
      </c>
      <c r="D25" s="17" t="n">
        <f aca="false">B25*C25</f>
        <v>34000</v>
      </c>
      <c r="E25" s="2" t="s">
        <v>281</v>
      </c>
    </row>
    <row r="26" customFormat="false" ht="15" hidden="false" customHeight="false" outlineLevel="0" collapsed="false">
      <c r="A26" s="3" t="s">
        <v>282</v>
      </c>
      <c r="B26" s="23" t="n">
        <v>1</v>
      </c>
      <c r="C26" s="25" t="n">
        <v>20000</v>
      </c>
      <c r="D26" s="17" t="n">
        <f aca="false">B26*C26</f>
        <v>20000</v>
      </c>
      <c r="E26" s="2" t="s">
        <v>283</v>
      </c>
    </row>
    <row r="27" customFormat="false" ht="15" hidden="false" customHeight="false" outlineLevel="0" collapsed="false">
      <c r="A27" s="3" t="s">
        <v>284</v>
      </c>
      <c r="B27" s="23" t="n">
        <v>1</v>
      </c>
      <c r="C27" s="25" t="n">
        <v>1800</v>
      </c>
      <c r="D27" s="17" t="n">
        <f aca="false">B27*C27</f>
        <v>1800</v>
      </c>
      <c r="E27" s="2" t="s">
        <v>285</v>
      </c>
    </row>
    <row r="28" customFormat="false" ht="15" hidden="false" customHeight="false" outlineLevel="0" collapsed="false">
      <c r="A28" s="3" t="s">
        <v>286</v>
      </c>
      <c r="B28" s="23" t="n">
        <v>1</v>
      </c>
      <c r="C28" s="25" t="n">
        <v>1500</v>
      </c>
      <c r="D28" s="17" t="n">
        <f aca="false">B28*C28</f>
        <v>1500</v>
      </c>
      <c r="E28" s="2" t="s">
        <v>266</v>
      </c>
    </row>
    <row r="29" customFormat="false" ht="15" hidden="false" customHeight="false" outlineLevel="0" collapsed="false">
      <c r="A29" s="3" t="s">
        <v>287</v>
      </c>
      <c r="B29" s="23" t="n">
        <v>1</v>
      </c>
      <c r="C29" s="25" t="n">
        <v>700</v>
      </c>
      <c r="D29" s="17" t="n">
        <f aca="false">B29*C29</f>
        <v>700</v>
      </c>
      <c r="E29" s="2" t="s">
        <v>266</v>
      </c>
    </row>
    <row r="30" customFormat="false" ht="15" hidden="false" customHeight="false" outlineLevel="0" collapsed="false">
      <c r="A30" s="4" t="s">
        <v>288</v>
      </c>
      <c r="D30" s="33" t="n">
        <f aca="false">SUM(D25:D29)</f>
        <v>58000</v>
      </c>
    </row>
    <row r="31" customFormat="false" ht="15" hidden="false" customHeight="false" outlineLevel="0" collapsed="false">
      <c r="A31" s="2" t="s">
        <v>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90"/>
  </cols>
  <sheetData>
    <row r="1" customFormat="false" ht="17.35" hidden="false" customHeight="false" outlineLevel="0" collapsed="false">
      <c r="A1" s="1" t="s">
        <v>290</v>
      </c>
    </row>
    <row r="2" customFormat="false" ht="15" hidden="false" customHeight="false" outlineLevel="0" collapsed="false">
      <c r="A2" s="2" t="s">
        <v>291</v>
      </c>
    </row>
    <row r="4" customFormat="false" ht="15" hidden="false" customHeight="false" outlineLevel="0" collapsed="false">
      <c r="A4" s="8" t="s">
        <v>292</v>
      </c>
      <c r="B4" s="8" t="s">
        <v>293</v>
      </c>
      <c r="C4" s="8" t="s">
        <v>294</v>
      </c>
      <c r="D4" s="8" t="s">
        <v>295</v>
      </c>
      <c r="E4" s="8" t="s">
        <v>296</v>
      </c>
    </row>
    <row r="5" customFormat="false" ht="15" hidden="false" customHeight="false" outlineLevel="0" collapsed="false">
      <c r="A5" s="3" t="s">
        <v>297</v>
      </c>
      <c r="B5" s="3" t="s">
        <v>298</v>
      </c>
      <c r="C5" s="5" t="s">
        <v>299</v>
      </c>
      <c r="D5" s="3" t="s">
        <v>300</v>
      </c>
      <c r="E5" s="2" t="s">
        <v>301</v>
      </c>
    </row>
    <row r="6" customFormat="false" ht="15" hidden="false" customHeight="false" outlineLevel="0" collapsed="false">
      <c r="A6" s="3" t="s">
        <v>302</v>
      </c>
      <c r="B6" s="3" t="s">
        <v>298</v>
      </c>
      <c r="C6" s="5" t="s">
        <v>303</v>
      </c>
      <c r="D6" s="3" t="s">
        <v>300</v>
      </c>
      <c r="E6" s="2" t="s">
        <v>304</v>
      </c>
    </row>
    <row r="7" customFormat="false" ht="15" hidden="false" customHeight="false" outlineLevel="0" collapsed="false">
      <c r="A7" s="3" t="s">
        <v>305</v>
      </c>
      <c r="B7" s="3" t="s">
        <v>298</v>
      </c>
      <c r="C7" s="5" t="s">
        <v>306</v>
      </c>
      <c r="D7" s="3" t="s">
        <v>300</v>
      </c>
      <c r="E7" s="2" t="s">
        <v>307</v>
      </c>
    </row>
    <row r="8" customFormat="false" ht="15" hidden="false" customHeight="false" outlineLevel="0" collapsed="false">
      <c r="A8" s="3" t="s">
        <v>308</v>
      </c>
      <c r="B8" s="3" t="s">
        <v>298</v>
      </c>
      <c r="C8" s="5" t="s">
        <v>309</v>
      </c>
      <c r="D8" s="3" t="s">
        <v>300</v>
      </c>
      <c r="E8" s="2" t="s">
        <v>310</v>
      </c>
    </row>
    <row r="9" customFormat="false" ht="15" hidden="false" customHeight="false" outlineLevel="0" collapsed="false">
      <c r="A9" s="3" t="s">
        <v>311</v>
      </c>
      <c r="B9" s="3" t="s">
        <v>312</v>
      </c>
      <c r="C9" s="5" t="s">
        <v>313</v>
      </c>
      <c r="D9" s="3" t="s">
        <v>300</v>
      </c>
      <c r="E9" s="2" t="s">
        <v>314</v>
      </c>
    </row>
    <row r="10" customFormat="false" ht="15" hidden="false" customHeight="false" outlineLevel="0" collapsed="false">
      <c r="A10" s="3" t="s">
        <v>315</v>
      </c>
      <c r="B10" s="3" t="s">
        <v>316</v>
      </c>
      <c r="C10" s="5" t="s">
        <v>317</v>
      </c>
      <c r="D10" s="3" t="s">
        <v>318</v>
      </c>
      <c r="E10" s="2" t="s">
        <v>314</v>
      </c>
    </row>
    <row r="11" customFormat="false" ht="15" hidden="false" customHeight="false" outlineLevel="0" collapsed="false">
      <c r="A11" s="3" t="s">
        <v>319</v>
      </c>
      <c r="B11" s="3" t="s">
        <v>320</v>
      </c>
      <c r="C11" s="5" t="s">
        <v>321</v>
      </c>
      <c r="D11" s="3" t="s">
        <v>322</v>
      </c>
      <c r="E11" s="2" t="s">
        <v>323</v>
      </c>
    </row>
    <row r="12" customFormat="false" ht="15" hidden="false" customHeight="false" outlineLevel="0" collapsed="false">
      <c r="A12" s="3" t="s">
        <v>324</v>
      </c>
      <c r="B12" s="3" t="s">
        <v>320</v>
      </c>
      <c r="C12" s="5" t="s">
        <v>325</v>
      </c>
      <c r="D12" s="3" t="s">
        <v>326</v>
      </c>
      <c r="E12" s="2" t="s">
        <v>327</v>
      </c>
    </row>
    <row r="13" customFormat="false" ht="15" hidden="false" customHeight="false" outlineLevel="0" collapsed="false">
      <c r="A13" s="3" t="s">
        <v>328</v>
      </c>
      <c r="B13" s="3" t="s">
        <v>329</v>
      </c>
      <c r="C13" s="5" t="s">
        <v>330</v>
      </c>
      <c r="D13" s="3" t="s">
        <v>300</v>
      </c>
      <c r="E13" s="2" t="s">
        <v>331</v>
      </c>
    </row>
    <row r="14" customFormat="false" ht="15" hidden="false" customHeight="false" outlineLevel="0" collapsed="false">
      <c r="A14" s="3" t="s">
        <v>332</v>
      </c>
      <c r="B14" s="3" t="s">
        <v>333</v>
      </c>
      <c r="C14" s="5" t="s">
        <v>334</v>
      </c>
      <c r="D14" s="3" t="s">
        <v>300</v>
      </c>
      <c r="E14" s="2" t="s">
        <v>335</v>
      </c>
    </row>
    <row r="15" customFormat="false" ht="15" hidden="false" customHeight="false" outlineLevel="0" collapsed="false">
      <c r="A15" s="3" t="s">
        <v>336</v>
      </c>
      <c r="B15" s="3" t="s">
        <v>337</v>
      </c>
      <c r="C15" s="5" t="s">
        <v>338</v>
      </c>
      <c r="D15" s="3" t="s">
        <v>339</v>
      </c>
      <c r="E15" s="2" t="s">
        <v>340</v>
      </c>
    </row>
    <row r="16" customFormat="false" ht="15" hidden="false" customHeight="false" outlineLevel="0" collapsed="false">
      <c r="A16" s="3" t="s">
        <v>341</v>
      </c>
      <c r="B16" s="3" t="s">
        <v>342</v>
      </c>
      <c r="C16" s="5" t="s">
        <v>343</v>
      </c>
      <c r="D16" s="3" t="s">
        <v>339</v>
      </c>
      <c r="E16" s="2" t="s">
        <v>344</v>
      </c>
    </row>
    <row r="17" customFormat="false" ht="15" hidden="false" customHeight="false" outlineLevel="0" collapsed="false">
      <c r="A17" s="3" t="s">
        <v>345</v>
      </c>
      <c r="B17" s="3" t="s">
        <v>346</v>
      </c>
      <c r="C17" s="5" t="s">
        <v>347</v>
      </c>
      <c r="D17" s="3" t="s">
        <v>348</v>
      </c>
      <c r="E17" s="2" t="s">
        <v>349</v>
      </c>
    </row>
    <row r="18" customFormat="false" ht="15" hidden="false" customHeight="false" outlineLevel="0" collapsed="false">
      <c r="A18" s="3" t="s">
        <v>350</v>
      </c>
      <c r="B18" s="3" t="s">
        <v>351</v>
      </c>
      <c r="C18" s="5" t="s">
        <v>352</v>
      </c>
      <c r="D18" s="3" t="s">
        <v>353</v>
      </c>
      <c r="E18" s="2" t="s">
        <v>354</v>
      </c>
    </row>
    <row r="19" customFormat="false" ht="15" hidden="false" customHeight="false" outlineLevel="0" collapsed="false">
      <c r="A19" s="3" t="s">
        <v>355</v>
      </c>
      <c r="B19" s="3" t="s">
        <v>356</v>
      </c>
      <c r="C19" s="5" t="s">
        <v>357</v>
      </c>
      <c r="D19" s="3" t="s">
        <v>353</v>
      </c>
      <c r="E19" s="2" t="s">
        <v>358</v>
      </c>
    </row>
    <row r="20" customFormat="false" ht="15" hidden="false" customHeight="false" outlineLevel="0" collapsed="false">
      <c r="A20" s="3" t="s">
        <v>359</v>
      </c>
      <c r="B20" s="3" t="s">
        <v>360</v>
      </c>
      <c r="C20" s="5" t="s">
        <v>361</v>
      </c>
      <c r="D20" s="3" t="s">
        <v>362</v>
      </c>
      <c r="E20" s="2" t="s">
        <v>363</v>
      </c>
    </row>
    <row r="21" customFormat="false" ht="15" hidden="false" customHeight="false" outlineLevel="0" collapsed="false">
      <c r="A21" s="3" t="s">
        <v>364</v>
      </c>
      <c r="B21" s="3" t="s">
        <v>365</v>
      </c>
      <c r="C21" s="5" t="s">
        <v>366</v>
      </c>
      <c r="D21" s="3" t="s">
        <v>367</v>
      </c>
      <c r="E21" s="2" t="s">
        <v>368</v>
      </c>
    </row>
    <row r="22" customFormat="false" ht="15" hidden="false" customHeight="false" outlineLevel="0" collapsed="false">
      <c r="A22" s="3" t="s">
        <v>369</v>
      </c>
      <c r="B22" s="3" t="s">
        <v>370</v>
      </c>
      <c r="C22" s="5" t="s">
        <v>371</v>
      </c>
      <c r="D22" s="3" t="s">
        <v>322</v>
      </c>
      <c r="E22" s="2" t="s">
        <v>372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2026-09-25T18:03:10Z</dcterms:created>
  <dc:creator>openpyxl</dc:creator>
  <dc:description/>
  <dc:language>en-US</dc:language>
  <cp:lastModifiedBy/>
  <dcterms:modified xsi:type="dcterms:W3CDTF">2026-09-25T18:03:10Z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